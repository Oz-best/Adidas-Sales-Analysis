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USER\OneDrive\Desktop\"/>
    </mc:Choice>
  </mc:AlternateContent>
  <xr:revisionPtr revIDLastSave="0" documentId="8_{F9018296-19E2-48ED-BC89-70FFF71BFE0D}" xr6:coauthVersionLast="47" xr6:coauthVersionMax="47" xr10:uidLastSave="{00000000-0000-0000-0000-000000000000}"/>
  <bookViews>
    <workbookView xWindow="-110" yWindow="-110" windowWidth="19420" windowHeight="10420" tabRatio="582" activeTab="1" xr2:uid="{FA3A1405-BA56-488D-B419-D6C0BF76C48E}"/>
  </bookViews>
  <sheets>
    <sheet name="Pivot Tables" sheetId="12" r:id="rId1"/>
    <sheet name="Dashboard" sheetId="10" r:id="rId2"/>
  </sheets>
  <definedNames>
    <definedName name="marginMoM">#REF!</definedName>
    <definedName name="marginYoY">#REF!</definedName>
    <definedName name="profit">#REF!</definedName>
    <definedName name="profit_margin">#REF!</definedName>
    <definedName name="profitMoM">#REF!</definedName>
    <definedName name="profitYoY">#REF!</definedName>
    <definedName name="quantity">'Pivot Tables'!$E$19</definedName>
    <definedName name="quantityMoM">#REF!</definedName>
    <definedName name="quantityYoY">#REF!</definedName>
    <definedName name="Region">'Pivot Tables'!#REF!</definedName>
    <definedName name="sales">#REF!</definedName>
    <definedName name="salesMoM">#REF!</definedName>
    <definedName name="salesYoY">#REF!</definedName>
    <definedName name="Slicer_Quarter">#N/A</definedName>
  </definedNames>
  <calcPr calcId="191029"/>
  <customWorkbookViews>
    <customWorkbookView name="mmmm" guid="{7586BF12-7134-4E67-ADA7-F447BD0E4BD8}" maximized="1" xWindow="-11" yWindow="-11" windowWidth="1942" windowHeight="1042" activeSheetId="3"/>
  </customWorkbookViews>
  <pivotCaches>
    <pivotCache cacheId="87" r:id="rId3"/>
    <pivotCache cacheId="89" r:id="rId4"/>
    <pivotCache cacheId="91" r:id="rId5"/>
    <pivotCache cacheId="93" r:id="rId6"/>
    <pivotCache cacheId="95" r:id="rId7"/>
    <pivotCache cacheId="97" r:id="rId8"/>
    <pivotCache cacheId="99" r:id="rId9"/>
    <pivotCache cacheId="101" r:id="rId10"/>
  </pivotCaches>
  <fileRecoveryPr autoRecover="0"/>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Sales Adidas_8ab4304a-5dd5-425f-8b5e-f809d57201af" name="Data Sales Adidas" connection="Query - Data Sales Adidas"/>
          <x15:modelTable id="Location table_c4c924e6-3501-48f3-b685-5290d4a0ec80" name="Location table" connection="Query - Location table"/>
          <x15:modelTable id="Product table_d56f1895-afd7-4440-bd14-29757dee1a4a" name="Product table" connection="Query - Product table"/>
          <x15:modelTable id="Sales method table_1bcc4bdc-2030-4966-ab9d-5681a7418d67" name="Sales method table" connection="Query - Sales method table"/>
          <x15:modelTable id="Retailer table_f9cb75d1-8e3b-4453-8ce7-473ba3861d70" name="Retailer table" connection="Query - Retailer table"/>
          <x15:modelTable id="Calendar" name="Calendar" connection="Connection"/>
        </x15:modelTables>
        <x15:modelRelationships>
          <x15:modelRelationship fromTable="Data Sales Adidas" fromColumn="State" toTable="Location table" toColumn="State"/>
          <x15:modelRelationship fromTable="Data Sales Adidas" fromColumn="Product" toTable="Product table" toColumn="Product"/>
          <x15:modelRelationship fromTable="Data Sales Adidas" fromColumn="Sales Method" toTable="Sales method table" toColumn="Sales Method"/>
          <x15:modelRelationship fromTable="Data Sales Adidas" fromColumn="Retailer" toTable="Retailer table" toColumn="Retailer"/>
          <x15:modelRelationship fromTable="Data Sales Adidas" fromColumn="Invoice Date" toTable="Calendar" toColumn="Invoice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2" l="1"/>
  <c r="O3" i="12"/>
  <c r="P3" i="12"/>
  <c r="N4" i="12"/>
  <c r="O4" i="12"/>
  <c r="P4" i="12"/>
  <c r="N5" i="12"/>
  <c r="O5" i="12"/>
  <c r="P5" i="12"/>
  <c r="N6" i="12"/>
  <c r="O6" i="12"/>
  <c r="P6" i="12"/>
  <c r="O2" i="12"/>
  <c r="P2" i="12"/>
  <c r="N2" i="12"/>
  <c r="B15" i="12"/>
  <c r="C15" i="12"/>
  <c r="B14" i="12"/>
  <c r="B13" i="12"/>
  <c r="C13" i="12"/>
  <c r="C14" i="12"/>
  <c r="C16" i="12"/>
  <c r="B16" i="12"/>
  <c r="D16" i="12"/>
  <c r="D15" i="12"/>
  <c r="D14" i="12"/>
  <c r="D13" i="12"/>
  <c r="E13" i="12" l="1"/>
  <c r="F13" i="12" s="1"/>
  <c r="R5" i="12"/>
  <c r="S5" i="12" s="1"/>
  <c r="R6" i="12"/>
  <c r="S6" i="12" s="1"/>
  <c r="R3" i="12"/>
  <c r="S3" i="12" s="1"/>
  <c r="R2" i="12"/>
  <c r="S2" i="12" s="1"/>
  <c r="R4" i="12"/>
  <c r="S4" i="12" s="1"/>
  <c r="Q6" i="12"/>
  <c r="Q4" i="12"/>
  <c r="Q5" i="12"/>
  <c r="Q2" i="12"/>
  <c r="Q3" i="12"/>
  <c r="E14" i="12"/>
  <c r="F14" i="12" s="1"/>
  <c r="E15" i="12"/>
  <c r="F15" i="12" s="1"/>
  <c r="E16" i="12"/>
  <c r="F16"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F64D97-ADB4-4E93-84E0-E1DF246B44AE}" name="Connection" type="104" refreshedVersion="0" background="1">
    <extLst>
      <ext xmlns:x15="http://schemas.microsoft.com/office/spreadsheetml/2010/11/main" uri="{DE250136-89BD-433C-8126-D09CA5730AF9}">
        <x15:connection id="Calendar"/>
      </ext>
    </extLst>
  </connection>
  <connection id="2" xr16:uid="{E30F816F-3B3F-4FF3-AAD2-AE38F076B95C}" name="Query - Data Sales Adidas" description="Connection to the 'Data Sales Adidas' query in the workbook." type="100" refreshedVersion="8" minRefreshableVersion="5">
    <extLst>
      <ext xmlns:x15="http://schemas.microsoft.com/office/spreadsheetml/2010/11/main" uri="{DE250136-89BD-433C-8126-D09CA5730AF9}">
        <x15:connection id="e769ccd5-ff12-4849-bda9-5399541f4710"/>
      </ext>
    </extLst>
  </connection>
  <connection id="3" xr16:uid="{A93E8149-6DFB-48BF-9F7D-3C88D20C3B6A}" name="Query - Location table" description="Connection to the 'Location table' query in the workbook." type="100" refreshedVersion="8" minRefreshableVersion="5">
    <extLst>
      <ext xmlns:x15="http://schemas.microsoft.com/office/spreadsheetml/2010/11/main" uri="{DE250136-89BD-433C-8126-D09CA5730AF9}">
        <x15:connection id="8116cbad-6856-4760-9cb0-770985607e84"/>
      </ext>
    </extLst>
  </connection>
  <connection id="4" xr16:uid="{31B00C19-FB37-48F1-9E3D-73EE710C6B72}" name="Query - Product table" description="Connection to the 'Product table' query in the workbook." type="100" refreshedVersion="8" minRefreshableVersion="5">
    <extLst>
      <ext xmlns:x15="http://schemas.microsoft.com/office/spreadsheetml/2010/11/main" uri="{DE250136-89BD-433C-8126-D09CA5730AF9}">
        <x15:connection id="9b2b7282-d153-4b88-aea9-c791829ae645"/>
      </ext>
    </extLst>
  </connection>
  <connection id="5" xr16:uid="{E80FDD85-C8AF-4985-9B11-C1CA85C9856C}" name="Query - Retailer table" description="Connection to the 'Retailer table' query in the workbook." type="100" refreshedVersion="8" minRefreshableVersion="5">
    <extLst>
      <ext xmlns:x15="http://schemas.microsoft.com/office/spreadsheetml/2010/11/main" uri="{DE250136-89BD-433C-8126-D09CA5730AF9}">
        <x15:connection id="99c464ce-d04e-4849-a11e-f9d9059e5680"/>
      </ext>
    </extLst>
  </connection>
  <connection id="6" xr16:uid="{AF378DF3-EEDF-4F71-9416-7143113A6A6C}" name="Query - Sales method table" description="Connection to the 'Sales method table' query in the workbook." type="100" refreshedVersion="8" minRefreshableVersion="5">
    <extLst>
      <ext xmlns:x15="http://schemas.microsoft.com/office/spreadsheetml/2010/11/main" uri="{DE250136-89BD-433C-8126-D09CA5730AF9}">
        <x15:connection id="e1e0613b-a4d4-4076-9810-0db9f246a378"/>
      </ext>
    </extLst>
  </connection>
  <connection id="7" xr16:uid="{1CD4B27D-1EE8-4C7C-A8BE-260BB13C3F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<sst xmlns="http://schemas.openxmlformats.org/spreadsheetml/2006/main" count="74" uniqueCount="58">
  <si>
    <t>Total Revenue</t>
  </si>
  <si>
    <t>Total Quantity</t>
  </si>
  <si>
    <t>Total Profit</t>
  </si>
  <si>
    <t>Profit Margin</t>
  </si>
  <si>
    <t>Total Sales</t>
  </si>
  <si>
    <t>Men's Apparel</t>
  </si>
  <si>
    <t>Men's Athletic Footwear</t>
  </si>
  <si>
    <t>Men's Street Footwear</t>
  </si>
  <si>
    <t>Women's Apparel</t>
  </si>
  <si>
    <t>Women's Athletic Footwear</t>
  </si>
  <si>
    <t>Women's Street Footwear</t>
  </si>
  <si>
    <t>Products</t>
  </si>
  <si>
    <t>Midwest</t>
  </si>
  <si>
    <t>Northeast</t>
  </si>
  <si>
    <t>South</t>
  </si>
  <si>
    <t>Southeast</t>
  </si>
  <si>
    <t>West</t>
  </si>
  <si>
    <t>Region</t>
  </si>
  <si>
    <t>Apr</t>
  </si>
  <si>
    <t>Aug</t>
  </si>
  <si>
    <t>Dec</t>
  </si>
  <si>
    <t>Feb</t>
  </si>
  <si>
    <t>Jan</t>
  </si>
  <si>
    <t>Jul</t>
  </si>
  <si>
    <t>Jun</t>
  </si>
  <si>
    <t>Mar</t>
  </si>
  <si>
    <t>May</t>
  </si>
  <si>
    <t>Nov</t>
  </si>
  <si>
    <t>Oct</t>
  </si>
  <si>
    <t>Sep</t>
  </si>
  <si>
    <t>Month</t>
  </si>
  <si>
    <t>Amazon</t>
  </si>
  <si>
    <t>Foot Locker</t>
  </si>
  <si>
    <t>Kohl's</t>
  </si>
  <si>
    <t>Sports Direct</t>
  </si>
  <si>
    <t>Walmart</t>
  </si>
  <si>
    <t>West Gear</t>
  </si>
  <si>
    <t>Retailer</t>
  </si>
  <si>
    <t>In-store</t>
  </si>
  <si>
    <t>Online</t>
  </si>
  <si>
    <t>Outlet</t>
  </si>
  <si>
    <t>Sales Method</t>
  </si>
  <si>
    <t>Variance</t>
  </si>
  <si>
    <t>Sales 2021</t>
  </si>
  <si>
    <t>2020 Benchmark</t>
  </si>
  <si>
    <t>Status</t>
  </si>
  <si>
    <t>Row Labels</t>
  </si>
  <si>
    <t>Total values</t>
  </si>
  <si>
    <t>CY</t>
  </si>
  <si>
    <t>PY</t>
  </si>
  <si>
    <t>YoY%</t>
  </si>
  <si>
    <t>sales</t>
  </si>
  <si>
    <t>quantity</t>
  </si>
  <si>
    <t>profit</t>
  </si>
  <si>
    <t>profit margin</t>
  </si>
  <si>
    <t>Sales 2020</t>
  </si>
  <si>
    <t>% Benchmark</t>
  </si>
  <si>
    <t>Key Performance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</si>
</sst>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t;=1000000]&quot;$&quot;#,##0,,&quot;M&quot;;[&gt;=1000]&quot;$&quot;#,##0,&quot;K&quot;;0"/>
    <numFmt numFmtId="165" formatCode="[Green]0%;[Red]\-0%"/>
    <numFmt numFmtId="166" formatCode="[&gt;=1000000]0.0,,&quot;M&quot;;[&gt;=1000]0.0,&quot;K&quot;;0"/>
    <numFmt numFmtId="167" formatCode="[&gt;=1000000]&quot;$&quot;#,##0.0,,&quot;M&quot;;[&gt;=1000]&quot;$&quot;#,##0.0,&quot;K&quot;;&quot;$&quot;#,##0.0,,&quot;M&quot;"/>
    <numFmt numFmtId="168" formatCode="[&gt;=1000000]&quot;$&quot;#,##0.0,,&quot;M&quot;;[&gt;=1000]&quot;$&quot;#,##0.0,&quot;K&quot;;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b/>
      <sz val="11"/>
      <color theme="0"/>
      <name val="Calibri"/>
      <family val="2"/>
    </font>
    <font>
      <b/>
      <sz val="11"/>
      <color theme="1"/>
      <name val="Calibri"/>
    </font>
    <font>
      <b/>
      <sz val="9"/>
      <color theme="1"/>
      <name val="Calibri"/>
    </font>
  </fonts>
  <fills count="3">
    <fill>
      <patternFill patternType="none"/>
    </fill>
    <fill>
      <patternFill patternType="gray125"/>
    </fill>
    <fill>
      <patternFill patternType="solid">
        <fgColor theme="1" tint="0.499984740745262"/>
        <bgColor indexed="64"/>
      </patternFill>
    </fill>
  </fills>
  <borders count="3">
    <border>
      <left/>
      <right/>
      <top/>
      <bottom/>
      <diagonal/>
    </border>
    <border>
      <left/>
      <right/>
      <top style="thin">
        <color theme="8" tint="0.79998168889431442"/>
      </top>
      <bottom style="thin">
        <color theme="8" tint="0.79998168889431442"/>
      </bottom>
      <diagonal/>
    </border>
    <border>
      <left/>
      <right/>
      <top style="thin">
        <color theme="8" tint="0.79998168889431442"/>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3" fillId="0" borderId="0" xfId="0" applyFont="1"/>
    <xf numFmtId="164" fontId="3" fillId="0" borderId="0" xfId="0" applyNumberFormat="1" applyFont="1"/>
    <xf numFmtId="165" fontId="3" fillId="0" borderId="2" xfId="0" applyNumberFormat="1" applyFont="1" applyBorder="1"/>
    <xf numFmtId="168" fontId="3" fillId="0" borderId="1" xfId="0" applyNumberFormat="1" applyFont="1" applyBorder="1"/>
    <xf numFmtId="167" fontId="3" fillId="0" borderId="1" xfId="0" applyNumberFormat="1" applyFont="1" applyBorder="1"/>
    <xf numFmtId="166" fontId="3" fillId="0" borderId="0" xfId="0" applyNumberFormat="1" applyFont="1"/>
    <xf numFmtId="0" fontId="3" fillId="0" borderId="1" xfId="0" applyFont="1" applyBorder="1" applyAlignment="1">
      <alignment horizontal="left"/>
    </xf>
    <xf numFmtId="10" fontId="3" fillId="0" borderId="0" xfId="1" applyNumberFormat="1" applyFont="1"/>
    <xf numFmtId="9" fontId="3" fillId="0" borderId="0" xfId="1" applyFont="1"/>
    <xf numFmtId="9" fontId="3" fillId="0" borderId="0" xfId="0" applyNumberFormat="1" applyFont="1"/>
    <xf numFmtId="0" fontId="5" fillId="0" borderId="0" xfId="0" pivotButton="1" applyFont="1"/>
    <xf numFmtId="0" fontId="5" fillId="0" borderId="0" xfId="0" applyFont="1"/>
    <xf numFmtId="10" fontId="5" fillId="0" borderId="0" xfId="0" applyNumberFormat="1" applyFont="1"/>
    <xf numFmtId="164" fontId="5" fillId="0" borderId="0" xfId="0" applyNumberFormat="1" applyFont="1"/>
    <xf numFmtId="166" fontId="5" fillId="0" borderId="0" xfId="0" applyNumberFormat="1" applyFont="1"/>
    <xf numFmtId="0" fontId="5" fillId="0" borderId="0" xfId="0" applyFont="1" applyAlignment="1">
      <alignment horizontal="left"/>
    </xf>
    <xf numFmtId="0" fontId="6" fillId="0" borderId="0" xfId="0" applyFont="1" applyAlignment="1">
      <alignment horizontal="left"/>
    </xf>
    <xf numFmtId="0" fontId="4" fillId="2" borderId="0" xfId="0" applyFont="1" applyFill="1" applyAlignment="1">
      <alignment horizontal="center" vertical="center"/>
    </xf>
    <xf numFmtId="0" fontId="2" fillId="0" borderId="0" xfId="0" applyNumberFormat="1" applyFont="1"/>
    <xf numFmtId="164" fontId="5" fillId="0" borderId="0" xfId="0" applyNumberFormat="1" applyFont="1" applyAlignment="1"/>
  </cellXfs>
  <cellStyles count="2">
    <cellStyle name="Normal" xfId="0" builtinId="0"/>
    <cellStyle name="Percent" xfId="1" builtinId="5"/>
  </cellStyles>
  <dxfs count="72">
    <dxf>
      <numFmt numFmtId="164" formatCode="[&gt;=1000000]&quot;$&quot;#,##0,,&quot;M&quot;;[&gt;=1000]&quot;$&quot;#,##0,&quot;K&quot;;0"/>
    </dxf>
    <dxf>
      <font>
        <b/>
        <name val="Calibri"/>
        <scheme val="none"/>
      </font>
    </dxf>
    <dxf>
      <font>
        <b/>
        <name val="Calibri"/>
        <scheme val="none"/>
      </font>
    </dxf>
    <dxf>
      <font>
        <b/>
        <name val="Calibri"/>
        <scheme val="none"/>
      </font>
    </dxf>
    <dxf>
      <font>
        <b/>
        <name val="Calibri"/>
        <scheme val="none"/>
      </font>
    </dxf>
    <dxf>
      <numFmt numFmtId="169" formatCode="&quot;$&quot;#,##0,,&quot;M&quot;"/>
    </dxf>
    <dxf>
      <font>
        <b/>
        <name val="Calibri"/>
        <scheme val="none"/>
      </font>
    </dxf>
    <dxf>
      <font>
        <b/>
        <name val="Calibri"/>
        <scheme val="none"/>
      </font>
    </dxf>
    <dxf>
      <font>
        <sz val="11"/>
      </font>
    </dxf>
    <dxf>
      <alignment horizontal="left"/>
    </dxf>
    <dxf>
      <font>
        <sz val="9"/>
      </font>
    </dxf>
    <dxf>
      <font>
        <b/>
      </font>
    </dxf>
    <dxf>
      <font>
        <b/>
      </font>
    </dxf>
    <dxf>
      <font>
        <name val="Calibri"/>
        <scheme val="none"/>
      </font>
    </dxf>
    <dxf>
      <font>
        <b/>
      </font>
    </dxf>
    <dxf>
      <font>
        <b/>
        <name val="Calibri"/>
        <scheme val="none"/>
      </font>
    </dxf>
    <dxf>
      <numFmt numFmtId="164" formatCode="[&gt;=1000000]&quot;$&quot;#,##0,,&quot;M&quot;;[&gt;=1000]&quot;$&quot;#,##0,&quot;K&quot;;0"/>
    </dxf>
    <dxf>
      <font>
        <b/>
        <name val="Calibri"/>
        <scheme val="none"/>
      </font>
    </dxf>
    <dxf>
      <font>
        <b/>
        <name val="Calibri"/>
        <scheme val="none"/>
      </font>
    </dxf>
    <dxf>
      <font>
        <b/>
        <name val="Calibri"/>
        <scheme val="none"/>
      </font>
    </dxf>
    <dxf>
      <font>
        <b/>
        <name val="Calibri"/>
        <scheme val="none"/>
      </font>
    </dxf>
    <dxf>
      <numFmt numFmtId="169" formatCode="&quot;$&quot;#,##0,,&quot;M&quot;"/>
    </dxf>
    <dxf>
      <font>
        <b/>
        <name val="Calibri"/>
        <scheme val="none"/>
      </font>
    </dxf>
    <dxf>
      <font>
        <b/>
        <name val="Calibri"/>
        <scheme val="none"/>
      </font>
      <numFmt numFmtId="166" formatCode="[&gt;=1000000]0.0,,&quot;M&quot;;[&gt;=1000]0.0,&quot;K&quot;;0"/>
    </dxf>
    <dxf>
      <font>
        <b/>
        <name val="Calibri"/>
        <scheme val="none"/>
      </font>
      <numFmt numFmtId="164" formatCode="[&gt;=1000000]&quot;$&quot;#,##0,,&quot;M&quot;;[&gt;=1000]&quot;$&quot;#,##0,&quot;K&quot;;0"/>
    </dxf>
    <dxf>
      <font>
        <b/>
        <name val="Calibri"/>
        <scheme val="none"/>
      </font>
      <numFmt numFmtId="164" formatCode="[&gt;=1000000]&quot;$&quot;#,##0,,&quot;M&quot;;[&gt;=1000]&quot;$&quot;#,##0,&quot;K&quot;;0"/>
    </dxf>
    <dxf>
      <font>
        <b/>
        <name val="Calibri"/>
        <scheme val="none"/>
      </font>
      <numFmt numFmtId="14" formatCode="0.00%"/>
    </dxf>
    <dxf>
      <font>
        <b/>
        <name val="Calibri"/>
        <scheme val="none"/>
      </font>
    </dxf>
    <dxf>
      <font>
        <b/>
        <name val="Calibri"/>
        <scheme val="none"/>
      </font>
    </dxf>
    <dxf>
      <font>
        <name val="Calibri"/>
        <scheme val="none"/>
      </font>
    </dxf>
    <dxf>
      <font>
        <b/>
      </font>
    </dxf>
    <dxf>
      <font>
        <b val="0"/>
        <i val="0"/>
        <strike val="0"/>
        <condense val="0"/>
        <extend val="0"/>
        <outline val="0"/>
        <shadow val="0"/>
        <u val="none"/>
        <vertAlign val="baseline"/>
        <sz val="11"/>
        <color theme="1"/>
        <name val="Aptos Narrow"/>
        <family val="2"/>
        <scheme val="minor"/>
      </font>
      <numFmt numFmtId="166" formatCode="[&gt;=1000000]0.0,,&quot;M&quot;;[&gt;=1000]0.0,&quot;K&quot;;0"/>
    </dxf>
    <dxf>
      <numFmt numFmtId="164" formatCode="[&gt;=1000000]&quot;$&quot;#,##0,,&quot;M&quot;;[&gt;=1000]&quot;$&quot;#,##0,&quot;K&quot;;0"/>
      <alignment horizontal="general" vertical="bottom" textRotation="0" wrapText="0" indent="0" justifyLastLine="0" shrinkToFit="0" readingOrder="0"/>
    </dxf>
    <dxf>
      <numFmt numFmtId="164" formatCode="[&gt;=1000000]&quot;$&quot;#,##0,,&quot;M&quot;;[&gt;=1000]&quot;$&quot;#,##0,&quot;K&quot;;0"/>
      <alignment horizontal="general" vertical="bottom" textRotation="0" wrapText="0" indent="0" justifyLastLine="0" shrinkToFit="0" readingOrder="0"/>
    </dxf>
    <dxf>
      <numFmt numFmtId="14" formatCode="0.00%"/>
    </dxf>
    <dxf>
      <font>
        <b/>
        <name val="Calibri"/>
        <scheme val="none"/>
      </font>
    </dxf>
    <dxf>
      <font>
        <b/>
        <name val="Calibri"/>
        <scheme val="none"/>
      </font>
    </dxf>
    <dxf>
      <font>
        <b/>
        <name val="Calibri"/>
        <scheme val="none"/>
      </font>
    </dxf>
    <dxf>
      <numFmt numFmtId="164" formatCode="[&gt;=1000000]&quot;$&quot;#,##0,,&quot;M&quot;;[&gt;=1000]&quot;$&quot;#,##0,&quot;K&quot;;0"/>
    </dxf>
    <dxf>
      <font>
        <name val="Calibri"/>
        <scheme val="none"/>
      </font>
    </dxf>
    <dxf>
      <font>
        <name val="Calibri"/>
        <scheme val="none"/>
      </font>
    </dxf>
    <dxf>
      <font>
        <b/>
      </font>
    </dxf>
    <dxf>
      <font>
        <b/>
      </font>
    </dxf>
    <dxf>
      <font>
        <b/>
        <name val="Calibri"/>
        <scheme val="none"/>
      </font>
    </dxf>
    <dxf>
      <font>
        <b/>
        <name val="Calibri"/>
        <scheme val="none"/>
      </font>
    </dxf>
    <dxf>
      <numFmt numFmtId="169" formatCode="&quot;$&quot;#,##0,,&quot;M&quot;"/>
    </dxf>
    <dxf>
      <numFmt numFmtId="164" formatCode="[&gt;=1000000]&quot;$&quot;#,##0,,&quot;M&quot;;[&gt;=1000]&quot;$&quot;#,##0,&quot;K&quot;;0"/>
    </dxf>
    <dxf>
      <font>
        <b/>
        <name val="Calibri"/>
        <scheme val="none"/>
      </font>
    </dxf>
    <dxf>
      <font>
        <b/>
        <name val="Calibri"/>
        <scheme val="none"/>
      </font>
    </dxf>
    <dxf>
      <font>
        <b/>
        <name val="Calibri"/>
        <scheme val="none"/>
      </font>
    </dxf>
    <dxf>
      <font>
        <b/>
        <name val="Calibri"/>
        <scheme val="none"/>
      </font>
    </dxf>
    <dxf>
      <numFmt numFmtId="169" formatCode="&quot;$&quot;#,##0,,&quot;M&quot;"/>
    </dxf>
    <dxf>
      <numFmt numFmtId="164" formatCode="[&gt;=1000000]&quot;$&quot;#,##0,,&quot;M&quot;;[&gt;=1000]&quot;$&quot;#,##0,&quot;K&quot;;0"/>
    </dxf>
    <dxf>
      <font>
        <b/>
        <name val="Calibri"/>
        <scheme val="none"/>
      </font>
    </dxf>
    <dxf>
      <font>
        <b/>
        <name val="Calibri"/>
        <scheme val="none"/>
      </font>
    </dxf>
    <dxf>
      <font>
        <b/>
        <name val="Calibri"/>
        <scheme val="none"/>
      </font>
    </dxf>
    <dxf>
      <font>
        <b/>
        <name val="Calibri"/>
        <scheme val="none"/>
      </font>
    </dxf>
    <dxf>
      <numFmt numFmtId="169" formatCode="&quot;$&quot;#,##0,,&quot;M&quot;"/>
    </dxf>
    <dxf>
      <font>
        <sz val="11"/>
        <color theme="1"/>
        <name val="Calibri"/>
        <family val="2"/>
        <scheme val="none"/>
      </font>
    </dxf>
    <dxf>
      <font>
        <b/>
        <i val="0"/>
        <color theme="1"/>
        <name val="Calibri"/>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none"/>
      </font>
    </dxf>
    <dxf>
      <font>
        <b/>
        <i val="0"/>
        <sz val="11"/>
        <color theme="1"/>
        <name val="Calibri"/>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color theme="1"/>
        <name val="Calibri"/>
        <family val="2"/>
        <scheme val="none"/>
      </font>
      <fill>
        <patternFill patternType="solid">
          <fgColor theme="0"/>
          <bgColor theme="0"/>
        </patternFill>
      </fill>
      <border diagonalUp="0" diagonalDown="0">
        <left/>
        <right/>
        <top/>
        <bottom/>
        <vertical/>
        <horizontal/>
      </border>
    </dxf>
    <dxf>
      <font>
        <b/>
        <sz val="11"/>
        <color theme="1"/>
      </font>
    </dxf>
    <dxf>
      <font>
        <b/>
        <i val="0"/>
        <color auto="1"/>
        <name val="Calibri"/>
        <family val="2"/>
        <scheme val="none"/>
      </font>
      <fill>
        <patternFill patternType="solid">
          <fgColor theme="0"/>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sz val="11"/>
        <color theme="1"/>
      </font>
    </dxf>
    <dxf>
      <font>
        <b/>
        <i val="0"/>
        <name val="Calibri"/>
        <family val="2"/>
        <scheme val="none"/>
      </font>
      <fill>
        <patternFill patternType="solid">
          <fgColor theme="0"/>
          <bgColor theme="0"/>
        </patternFill>
      </fill>
      <border diagonalUp="0" diagonalDown="0">
        <left/>
        <right/>
        <top/>
        <bottom/>
        <vertical/>
        <horizontal/>
      </border>
    </dxf>
    <dxf>
      <font>
        <sz val="11"/>
        <color theme="3"/>
        <name val="Calibri"/>
        <family val="2"/>
      </font>
      <fill>
        <patternFill patternType="none">
          <fgColor indexed="64"/>
          <bgColor auto="1"/>
        </patternFill>
      </fill>
      <border diagonalUp="0" diagonalDown="0">
        <left/>
        <right/>
        <top/>
        <bottom/>
        <vertical/>
        <horizontal/>
      </border>
    </dxf>
    <dxf>
      <border diagonalUp="0" diagonalDown="0">
        <left/>
        <right/>
        <top/>
        <bottom/>
        <vertical/>
        <horizontal/>
      </border>
    </dxf>
    <dxf>
      <font>
        <name val="Calibri"/>
        <family val="2"/>
        <scheme val="none"/>
      </font>
    </dxf>
    <dxf>
      <font>
        <b/>
        <i val="0"/>
        <sz val="10"/>
        <color rgb="FF385F7C"/>
        <name val="Calibri"/>
        <family val="2"/>
      </font>
      <fill>
        <patternFill>
          <bgColor rgb="FFE1EAF1"/>
        </patternFill>
      </fill>
    </dxf>
  </dxfs>
  <tableStyles count="15" defaultTableStyle="TableStyleMedium2" defaultPivotStyle="PivotStyleLight16">
    <tableStyle name="custom" pivot="0" table="0" count="2" xr9:uid="{81D4BD5C-B24F-4209-9ACE-6B05FB60B076}">
      <tableStyleElement type="wholeTable" dxfId="71"/>
    </tableStyle>
    <tableStyle name="Slicer Style 1" pivot="0" table="0" count="1" xr9:uid="{E609E56E-4D48-4A12-A249-98C65EA7D9E4}">
      <tableStyleElement type="wholeTable" dxfId="70"/>
    </tableStyle>
    <tableStyle name="Slicer Style 2" pivot="0" table="0" count="1" xr9:uid="{0F9935E4-2048-42DC-8C3B-306F31FE1888}">
      <tableStyleElement type="wholeTable" dxfId="69"/>
    </tableStyle>
    <tableStyle name="Slicer Style 3" pivot="0" table="0" count="1" xr9:uid="{11C589E9-4724-4895-A6B9-3EFAC8981870}"/>
    <tableStyle name="Slicer Style 4" pivot="0" table="0" count="1" xr9:uid="{D89AEC38-3EAC-4D86-BF9B-885E6A6E8ED8}"/>
    <tableStyle name="Slicer Style 5" pivot="0" table="0" count="1" xr9:uid="{935C63FC-5855-4E39-BBB2-6E636FF26616}"/>
    <tableStyle name="Slicer Style 6" pivot="0" table="0" count="2" xr9:uid="{32037772-B138-4F88-A5A8-5F33DCD91083}">
      <tableStyleElement type="wholeTable" dxfId="68"/>
    </tableStyle>
    <tableStyle name="Slicer Style 7" pivot="0" table="0" count="1" xr9:uid="{5C0CE3CD-9568-47C8-AF3F-A10B173BDD7A}"/>
    <tableStyle name="Slicer Style 8" pivot="0" table="0" count="2" xr9:uid="{5CC4C035-BE1B-42D9-84D7-2743B831B539}"/>
    <tableStyle name="Table Style 1" pivot="0" count="0" xr9:uid="{A64BB8E0-7D18-41C5-9160-38FC7468BE78}"/>
    <tableStyle name="Timeline Style 1" pivot="0" table="0" count="8" xr9:uid="{133A5FCA-BBD0-4565-9578-5B3BBFD32943}">
      <tableStyleElement type="wholeTable" dxfId="67"/>
      <tableStyleElement type="headerRow" dxfId="66"/>
    </tableStyle>
    <tableStyle name="Timeline Style 2" pivot="0" table="0" count="8" xr9:uid="{D446B2B1-7BD8-4D42-AFB3-20257F8FB47F}">
      <tableStyleElement type="wholeTable" dxfId="65"/>
      <tableStyleElement type="headerRow" dxfId="64"/>
    </tableStyle>
    <tableStyle name="Timeline Style 3" pivot="0" table="0" count="8" xr9:uid="{708E4F1C-F8BA-4D23-8B71-A00EE3E9E0CA}">
      <tableStyleElement type="wholeTable" dxfId="63"/>
      <tableStyleElement type="headerRow" dxfId="62"/>
    </tableStyle>
    <tableStyle name="Timeline Style 4" pivot="0" table="0" count="8" xr9:uid="{40EF226C-E40E-4951-BE77-7913DC6DF1DE}">
      <tableStyleElement type="wholeTable" dxfId="61"/>
      <tableStyleElement type="headerRow" dxfId="60"/>
    </tableStyle>
    <tableStyle name="Timeline Style 5" pivot="0" table="0" count="8" xr9:uid="{15558F07-352B-41B7-8F51-A89D470AE6DD}">
      <tableStyleElement type="wholeTable" dxfId="59"/>
      <tableStyleElement type="headerRow" dxfId="58"/>
    </tableStyle>
  </tableStyles>
  <colors>
    <mruColors>
      <color rgb="FF385F7C"/>
      <color rgb="FFF0F4F6"/>
      <color rgb="FFCCDCE8"/>
      <color rgb="FFE1EAF1"/>
      <color rgb="FF9095B6"/>
      <color rgb="FFF6EEF5"/>
      <color rgb="FFF8F9FA"/>
      <color rgb="FFCC70C0"/>
      <color rgb="FFF2F2F2"/>
      <color rgb="FFFFFFFF"/>
    </mruColors>
  </colors>
  <extLst>
    <ext xmlns:x14="http://schemas.microsoft.com/office/spreadsheetml/2009/9/main" uri="{46F421CA-312F-682f-3DD2-61675219B42D}">
      <x14:dxfs count="8">
        <dxf>
          <font>
            <b val="0"/>
            <i val="0"/>
            <sz val="9"/>
            <color theme="3"/>
            <name val="Calibri"/>
            <family val="2"/>
          </font>
          <fill>
            <gradientFill degree="90">
              <stop position="0">
                <color rgb="FFE1EAF1"/>
              </stop>
              <stop position="1">
                <color rgb="FFE1EAF1"/>
              </stop>
            </gradientFill>
          </fill>
        </dxf>
        <dxf>
          <font>
            <b val="0"/>
            <i val="0"/>
            <sz val="9"/>
            <name val="Calibri"/>
            <family val="2"/>
          </font>
          <fill>
            <patternFill patternType="none">
              <bgColor auto="1"/>
            </patternFill>
          </fill>
        </dxf>
        <dxf>
          <font>
            <sz val="8"/>
            <name val="Calibri"/>
            <family val="2"/>
            <scheme val="none"/>
          </font>
          <fill>
            <gradientFill degree="90">
              <stop position="0">
                <color rgb="FFE1EAF1"/>
              </stop>
              <stop position="1">
                <color rgb="FFE1EAF1"/>
              </stop>
            </gradientFill>
          </fill>
        </dxf>
        <dxf>
          <font>
            <sz val="11"/>
            <color theme="3"/>
            <name val="Calibri"/>
            <family val="2"/>
            <scheme val="none"/>
          </font>
          <fill>
            <gradientFill degree="90">
              <stop position="0">
                <color rgb="FFE1EAF1"/>
              </stop>
              <stop position="1">
                <color rgb="FFE1EAF1"/>
              </stop>
            </gradientFill>
          </fill>
        </dxf>
        <dxf>
          <font>
            <b/>
            <i val="0"/>
            <sz val="9"/>
            <name val="Calibri"/>
            <family val="2"/>
          </font>
          <fill>
            <patternFill>
              <fgColor theme="0"/>
              <bgColor theme="8" tint="0.59996337778862885"/>
            </patternFill>
          </fill>
          <border diagonalUp="0" diagonalDown="0">
            <left/>
            <right/>
            <top/>
            <bottom/>
            <vertical/>
            <horizontal/>
          </border>
        </dxf>
        <dxf>
          <font>
            <b/>
            <i val="0"/>
            <sz val="9"/>
            <color theme="1"/>
            <name val="Calibri"/>
            <family val="2"/>
            <scheme val="none"/>
          </font>
          <fill>
            <patternFill>
              <bgColor theme="8" tint="0.59996337778862885"/>
            </patternFill>
          </fill>
          <border>
            <left style="thin">
              <color auto="1"/>
            </left>
            <right style="thin">
              <color auto="1"/>
            </right>
            <top style="thin">
              <color auto="1"/>
            </top>
            <bottom style="thin">
              <color auto="1"/>
            </bottom>
          </border>
        </dxf>
        <dxf>
          <font>
            <b/>
            <i val="0"/>
            <sz val="9"/>
            <name val="Calibri"/>
            <family val="2"/>
          </font>
          <border diagonalUp="0" diagonalDown="0">
            <left style="thin">
              <color auto="1"/>
            </left>
            <right style="thin">
              <color auto="1"/>
            </right>
            <top style="thin">
              <color auto="1"/>
            </top>
            <bottom style="thin">
              <color auto="1"/>
            </bottom>
            <vertical/>
            <horizontal/>
          </border>
        </dxf>
        <dxf>
          <font>
            <b/>
            <i val="0"/>
            <sz val="10"/>
            <color rgb="FF385F7C"/>
            <name val="Calibri"/>
            <family val="2"/>
            <scheme val="none"/>
          </font>
          <fill>
            <patternFill>
              <bgColor rgb="FFF0F4F6"/>
            </patternFill>
          </fill>
        </dxf>
      </x14:dxfs>
    </ext>
    <ext xmlns:x14="http://schemas.microsoft.com/office/spreadsheetml/2009/9/main" uri="{EB79DEF2-80B8-43e5-95BD-54CBDDF9020C}">
      <x14:slicerStyles defaultSlicerStyle="SlicerStyleLight1">
        <x14:slicerStyle name="custom">
          <x14:slicerStyleElements>
            <x14:slicerStyleElement type="selectedItemWithData" dxfId="7"/>
          </x14:slicerStyleElements>
        </x14:slicerStyle>
        <x14:slicerStyle name="Slicer Style 1"/>
        <x14:slicerStyle name="Slicer Style 2"/>
        <x14:slicerStyle name="Slicer Style 3">
          <x14:slicerStyleElements>
            <x14:slicerStyleElement type="selectedItemWithData" dxfId="6"/>
          </x14:slicerStyleElements>
        </x14:slicerStyle>
        <x14:slicerStyle name="Slicer Style 4">
          <x14:slicerStyleElements>
            <x14:slicerStyleElement type="selectedItemWithData" dxfId="5"/>
          </x14:slicerStyleElements>
        </x14:slicerStyle>
        <x14:slicerStyle name="Slicer Style 5">
          <x14:slicerStyleElements>
            <x14:slicerStyleElement type="unselectedItemWithNoData" dxfId="4"/>
          </x14:slicerStyleElements>
        </x14:slicerStyle>
        <x14:slicerStyle name="Slicer Style 6">
          <x14:slicerStyleElements>
            <x14:slicerStyleElement type="selectedItemWithData" dxfId="3"/>
          </x14:slicerStyleElements>
        </x14:slicerStyle>
        <x14:slicerStyle name="Slicer Style 7">
          <x14:slicerStyleElements>
            <x14:slicerStyleElement type="selectedItemWithData" dxfId="2"/>
          </x14:slicerStyleElements>
        </x14:slicerStyle>
        <x14:slicerStyle name="Slicer Style 8">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name val="Calibri"/>
            <family val="2"/>
            <scheme val="none"/>
          </font>
        </dxf>
        <dxf>
          <font>
            <sz val="9"/>
            <color theme="1"/>
            <name val="Calibri"/>
            <family val="2"/>
            <scheme val="none"/>
          </font>
        </dxf>
        <dxf>
          <font>
            <sz val="9"/>
            <color theme="1"/>
            <name val="Calibri"/>
            <family val="2"/>
            <scheme val="none"/>
          </font>
        </dxf>
        <dxf>
          <font>
            <sz val="9"/>
            <color theme="1"/>
            <name val="Calibri"/>
            <family val="2"/>
            <scheme val="none"/>
          </font>
        </dxf>
        <dxf>
          <fill>
            <patternFill patternType="solid">
              <fgColor theme="0" tint="-0.14999847407452621"/>
              <bgColor theme="0" tint="-0.14999847407452621"/>
            </patternFill>
          </fill>
        </dxf>
        <dxf>
          <fill>
            <patternFill patternType="solid">
              <fgColor theme="0"/>
              <bgColor theme="0"/>
            </patternFill>
          </fill>
        </dxf>
        <dxf>
          <font>
            <b/>
            <i val="0"/>
            <sz val="9"/>
            <color theme="1"/>
            <name val="Calibri"/>
            <family val="2"/>
            <scheme val="none"/>
          </font>
        </dxf>
        <dxf>
          <font>
            <b/>
            <i val="0"/>
            <sz val="11"/>
            <color theme="1"/>
            <name val="Calibri"/>
            <family val="2"/>
            <scheme val="none"/>
          </font>
        </dxf>
        <dxf>
          <font>
            <sz val="9"/>
            <color theme="1" tint="0.499984740745262"/>
          </font>
        </dxf>
        <dxf>
          <font>
            <sz val="10"/>
            <color theme="1" tint="0.499984740745262"/>
            <name val="Calibri"/>
            <family val="2"/>
            <scheme val="none"/>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8.xml"/><Relationship Id="rId21" Type="http://schemas.openxmlformats.org/officeDocument/2006/relationships/customXml" Target="../customXml/item3.xml"/><Relationship Id="rId42" Type="http://schemas.openxmlformats.org/officeDocument/2006/relationships/customXml" Target="../customXml/item24.xml"/><Relationship Id="rId47" Type="http://schemas.openxmlformats.org/officeDocument/2006/relationships/customXml" Target="../customXml/item29.xml"/><Relationship Id="rId63" Type="http://schemas.openxmlformats.org/officeDocument/2006/relationships/customXml" Target="../customXml/item45.xml"/><Relationship Id="rId68" Type="http://schemas.openxmlformats.org/officeDocument/2006/relationships/customXml" Target="../customXml/item50.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3" Type="http://schemas.openxmlformats.org/officeDocument/2006/relationships/customXml" Target="../customXml/item35.xml"/><Relationship Id="rId58" Type="http://schemas.openxmlformats.org/officeDocument/2006/relationships/customXml" Target="../customXml/item40.xml"/><Relationship Id="rId66" Type="http://schemas.openxmlformats.org/officeDocument/2006/relationships/customXml" Target="../customXml/item48.xml"/><Relationship Id="rId74" Type="http://schemas.openxmlformats.org/officeDocument/2006/relationships/customXml" Target="../customXml/item56.xml"/><Relationship Id="rId5" Type="http://schemas.openxmlformats.org/officeDocument/2006/relationships/pivotCacheDefinition" Target="pivotCache/pivotCacheDefinition3.xml"/><Relationship Id="rId61" Type="http://schemas.openxmlformats.org/officeDocument/2006/relationships/customXml" Target="../customXml/item43.xml"/><Relationship Id="rId19" Type="http://schemas.openxmlformats.org/officeDocument/2006/relationships/customXml" Target="../customXml/item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56" Type="http://schemas.openxmlformats.org/officeDocument/2006/relationships/customXml" Target="../customXml/item38.xml"/><Relationship Id="rId64" Type="http://schemas.openxmlformats.org/officeDocument/2006/relationships/customXml" Target="../customXml/item46.xml"/><Relationship Id="rId69" Type="http://schemas.openxmlformats.org/officeDocument/2006/relationships/customXml" Target="../customXml/item51.xml"/><Relationship Id="rId8" Type="http://schemas.openxmlformats.org/officeDocument/2006/relationships/pivotCacheDefinition" Target="pivotCache/pivotCacheDefinition6.xml"/><Relationship Id="rId51" Type="http://schemas.openxmlformats.org/officeDocument/2006/relationships/customXml" Target="../customXml/item33.xml"/><Relationship Id="rId72" Type="http://schemas.openxmlformats.org/officeDocument/2006/relationships/customXml" Target="../customXml/item54.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59" Type="http://schemas.openxmlformats.org/officeDocument/2006/relationships/customXml" Target="../customXml/item41.xml"/><Relationship Id="rId67" Type="http://schemas.openxmlformats.org/officeDocument/2006/relationships/customXml" Target="../customXml/item49.xml"/><Relationship Id="rId20" Type="http://schemas.openxmlformats.org/officeDocument/2006/relationships/customXml" Target="../customXml/item2.xml"/><Relationship Id="rId41" Type="http://schemas.openxmlformats.org/officeDocument/2006/relationships/customXml" Target="../customXml/item23.xml"/><Relationship Id="rId54" Type="http://schemas.openxmlformats.org/officeDocument/2006/relationships/customXml" Target="../customXml/item36.xml"/><Relationship Id="rId62" Type="http://schemas.openxmlformats.org/officeDocument/2006/relationships/customXml" Target="../customXml/item44.xml"/><Relationship Id="rId70" Type="http://schemas.openxmlformats.org/officeDocument/2006/relationships/customXml" Target="../customXml/item52.xml"/><Relationship Id="rId75"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57" Type="http://schemas.openxmlformats.org/officeDocument/2006/relationships/customXml" Target="../customXml/item39.xml"/><Relationship Id="rId10" Type="http://schemas.openxmlformats.org/officeDocument/2006/relationships/pivotCacheDefinition" Target="pivotCache/pivotCacheDefinition8.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 Id="rId60" Type="http://schemas.openxmlformats.org/officeDocument/2006/relationships/customXml" Target="../customXml/item42.xml"/><Relationship Id="rId65" Type="http://schemas.openxmlformats.org/officeDocument/2006/relationships/customXml" Target="../customXml/item47.xml"/><Relationship Id="rId73" Type="http://schemas.openxmlformats.org/officeDocument/2006/relationships/customXml" Target="../customXml/item5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theme" Target="theme/theme1.xml"/><Relationship Id="rId18" Type="http://schemas.openxmlformats.org/officeDocument/2006/relationships/calcChain" Target="calcChain.xml"/><Relationship Id="rId39" Type="http://schemas.openxmlformats.org/officeDocument/2006/relationships/customXml" Target="../customXml/item21.xml"/><Relationship Id="rId34" Type="http://schemas.openxmlformats.org/officeDocument/2006/relationships/customXml" Target="../customXml/item16.xml"/><Relationship Id="rId50" Type="http://schemas.openxmlformats.org/officeDocument/2006/relationships/customXml" Target="../customXml/item32.xml"/><Relationship Id="rId55" Type="http://schemas.openxmlformats.org/officeDocument/2006/relationships/customXml" Target="../customXml/item37.xml"/><Relationship Id="rId7" Type="http://schemas.openxmlformats.org/officeDocument/2006/relationships/pivotCacheDefinition" Target="pivotCache/pivotCacheDefinition5.xml"/><Relationship Id="rId71" Type="http://schemas.openxmlformats.org/officeDocument/2006/relationships/customXml" Target="../customXml/item5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Tables!Total Sales by Month</c:name>
    <c:fmtId val="56"/>
  </c:pivotSource>
  <c:chart>
    <c:autoTitleDeleted val="1"/>
    <c:pivotFmts>
      <c:pivotFmt>
        <c:idx val="0"/>
        <c:spPr>
          <a:solidFill>
            <a:schemeClr val="accent1"/>
          </a:solidFill>
          <a:ln w="28575"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7.9136690647482008E-2"/>
          <c:w val="0.93888888888888888"/>
          <c:h val="0.75454483657168758"/>
        </c:manualLayout>
      </c:layout>
      <c:lineChart>
        <c:grouping val="standard"/>
        <c:varyColors val="0"/>
        <c:ser>
          <c:idx val="0"/>
          <c:order val="0"/>
          <c:tx>
            <c:strRef>
              <c:f>'Pivot Tables'!$I$1</c:f>
              <c:strCache>
                <c:ptCount val="1"/>
                <c:pt idx="0">
                  <c:v>Total</c:v>
                </c:pt>
              </c:strCache>
            </c:strRef>
          </c:tx>
          <c:spPr>
            <a:ln w="28575" cap="rnd">
              <a:solidFill>
                <a:srgbClr val="385F7C"/>
              </a:solidFill>
              <a:prstDash val="sysDot"/>
              <a:round/>
            </a:ln>
            <a:effectLst/>
          </c:spPr>
          <c:marker>
            <c:symbol val="circle"/>
            <c:size val="5"/>
            <c:spPr>
              <a:solidFill>
                <a:srgbClr val="385F7C"/>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Tables'!$I$2:$I$13</c:f>
              <c:numCache>
                <c:formatCode>[&gt;=1000000]"$"#,##0,,"M";[&gt;=1000]"$"#,##0,"K";0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extLst>
            <c:ext xmlns:c16="http://schemas.microsoft.com/office/drawing/2014/chart" uri="{C3380CC4-5D6E-409C-BE32-E72D297353CC}">
              <c16:uniqueId val="{00000000-FB55-42ED-A3DC-B6AA5A21DDEB}"/>
            </c:ext>
          </c:extLst>
        </c:ser>
        <c:dLbls>
          <c:dLblPos val="t"/>
          <c:showLegendKey val="0"/>
          <c:showVal val="1"/>
          <c:showCatName val="0"/>
          <c:showSerName val="0"/>
          <c:showPercent val="0"/>
          <c:showBubbleSize val="0"/>
        </c:dLbls>
        <c:marker val="1"/>
        <c:smooth val="0"/>
        <c:axId val="1787317904"/>
        <c:axId val="1758680928"/>
      </c:lineChart>
      <c:catAx>
        <c:axId val="1787317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crossAx val="1758680928"/>
        <c:crosses val="autoZero"/>
        <c:auto val="1"/>
        <c:lblAlgn val="ctr"/>
        <c:lblOffset val="100"/>
        <c:noMultiLvlLbl val="0"/>
      </c:catAx>
      <c:valAx>
        <c:axId val="1758680928"/>
        <c:scaling>
          <c:orientation val="minMax"/>
        </c:scaling>
        <c:delete val="1"/>
        <c:axPos val="l"/>
        <c:numFmt formatCode="[&gt;=1000000]&quot;$&quot;#,##0,,&quot;M&quot;;[&gt;=1000]&quot;$&quot;#,##0,&quot;K&quot;;0" sourceLinked="1"/>
        <c:majorTickMark val="none"/>
        <c:minorTickMark val="none"/>
        <c:tickLblPos val="nextTo"/>
        <c:crossAx val="17873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L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Tables!Total sales by Retailer</c:name>
    <c:fmtId val="12"/>
  </c:pivotSource>
  <c:chart>
    <c:autoTitleDeleted val="1"/>
    <c:pivotFmts>
      <c:pivotFmt>
        <c:idx val="0"/>
        <c:spPr>
          <a:solidFill>
            <a:srgbClr val="385F7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85F7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Total</c:v>
                </c:pt>
              </c:strCache>
            </c:strRef>
          </c:tx>
          <c:spPr>
            <a:solidFill>
              <a:srgbClr val="385F7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Tables'!$K$2:$K$7</c:f>
              <c:strCache>
                <c:ptCount val="6"/>
                <c:pt idx="0">
                  <c:v>West Gear</c:v>
                </c:pt>
                <c:pt idx="1">
                  <c:v>Foot Locker</c:v>
                </c:pt>
                <c:pt idx="2">
                  <c:v>Sports Direct</c:v>
                </c:pt>
                <c:pt idx="3">
                  <c:v>Kohl's</c:v>
                </c:pt>
                <c:pt idx="4">
                  <c:v>Amazon</c:v>
                </c:pt>
                <c:pt idx="5">
                  <c:v>Walmart</c:v>
                </c:pt>
              </c:strCache>
            </c:strRef>
          </c:cat>
          <c:val>
            <c:numRef>
              <c:f>'Pivot Tables'!$L$2:$L$7</c:f>
              <c:numCache>
                <c:formatCode>[&gt;=1000000]"$"#,##0,,"M";[&gt;=1000]"$"#,##0,"K";0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5CAA-41D0-B3C3-CB11CC2FF6D3}"/>
            </c:ext>
          </c:extLst>
        </c:ser>
        <c:dLbls>
          <c:dLblPos val="outEnd"/>
          <c:showLegendKey val="0"/>
          <c:showVal val="1"/>
          <c:showCatName val="0"/>
          <c:showSerName val="0"/>
          <c:showPercent val="0"/>
          <c:showBubbleSize val="0"/>
        </c:dLbls>
        <c:gapWidth val="300"/>
        <c:axId val="2012707520"/>
        <c:axId val="1758681888"/>
      </c:barChart>
      <c:catAx>
        <c:axId val="20127075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crossAx val="1758681888"/>
        <c:crosses val="autoZero"/>
        <c:auto val="1"/>
        <c:lblAlgn val="ctr"/>
        <c:lblOffset val="100"/>
        <c:noMultiLvlLbl val="0"/>
      </c:catAx>
      <c:valAx>
        <c:axId val="1758681888"/>
        <c:scaling>
          <c:orientation val="minMax"/>
        </c:scaling>
        <c:delete val="1"/>
        <c:axPos val="b"/>
        <c:numFmt formatCode="[&gt;=1000000]&quot;$&quot;#,##0,,&quot;M&quot;;[&gt;=1000]&quot;$&quot;#,##0,&quot;K&quot;;0" sourceLinked="1"/>
        <c:majorTickMark val="none"/>
        <c:minorTickMark val="none"/>
        <c:tickLblPos val="nextTo"/>
        <c:crossAx val="201270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L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Tables!Total sales by Sales method</c:name>
    <c:fmtId val="1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noFill/>
          </a:ln>
          <a:effectLst/>
        </c:spPr>
      </c:pivotFmt>
      <c:pivotFmt>
        <c:idx val="2"/>
        <c:spPr>
          <a:solidFill>
            <a:srgbClr val="CCDCE8"/>
          </a:solidFill>
          <a:ln w="19050">
            <a:noFill/>
          </a:ln>
          <a:effectLst/>
        </c:spPr>
      </c:pivotFmt>
      <c:pivotFmt>
        <c:idx val="3"/>
        <c:spPr>
          <a:solidFill>
            <a:schemeClr val="bg1">
              <a:lumMod val="5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5F7C"/>
          </a:solidFill>
          <a:ln w="19050">
            <a:noFill/>
          </a:ln>
          <a:effectLst/>
        </c:spPr>
      </c:pivotFmt>
      <c:pivotFmt>
        <c:idx val="6"/>
        <c:spPr>
          <a:solidFill>
            <a:srgbClr val="CCDCE8"/>
          </a:solidFill>
          <a:ln w="19050">
            <a:noFill/>
          </a:ln>
          <a:effectLst/>
        </c:spPr>
      </c:pivotFmt>
      <c:pivotFmt>
        <c:idx val="7"/>
        <c:spPr>
          <a:solidFill>
            <a:schemeClr val="bg1">
              <a:lumMod val="50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rgbClr val="385F7C"/>
          </a:solidFill>
          <a:ln w="19050">
            <a:noFill/>
          </a:ln>
          <a:effectLst/>
        </c:spPr>
        <c:dLbl>
          <c:idx val="0"/>
          <c:layout>
            <c:manualLayout>
              <c:x val="-0.13742380471047028"/>
              <c:y val="-0.20085648429217601"/>
            </c:manualLayout>
          </c:layout>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rgbClr val="CCDCE8"/>
          </a:solidFill>
          <a:ln w="19050">
            <a:noFill/>
          </a:ln>
          <a:effectLst/>
        </c:spPr>
        <c:dLbl>
          <c:idx val="0"/>
          <c:layout>
            <c:manualLayout>
              <c:x val="0.19418581100392535"/>
              <c:y val="-3.5700712215153294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bg1">
              <a:lumMod val="50000"/>
            </a:schemeClr>
          </a:solidFill>
          <a:ln w="19050">
            <a:noFill/>
          </a:ln>
          <a:effectLst/>
        </c:spPr>
        <c:dLbl>
          <c:idx val="0"/>
          <c:layout>
            <c:manualLayout>
              <c:x val="0.21061715332304731"/>
              <c:y val="-1.7892210144927534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extLst>
            <c:ext xmlns:c15="http://schemas.microsoft.com/office/drawing/2012/chart" uri="{CE6537A1-D6FC-4f65-9D91-7224C49458BB}">
              <c15:layout>
                <c:manualLayout>
                  <c:w val="0.19340906775990963"/>
                  <c:h val="0.38644565217391302"/>
                </c:manualLayout>
              </c15:layout>
            </c:ext>
          </c:extLst>
        </c:dLbl>
      </c:pivotFmt>
    </c:pivotFmts>
    <c:plotArea>
      <c:layout>
        <c:manualLayout>
          <c:layoutTarget val="inner"/>
          <c:xMode val="edge"/>
          <c:yMode val="edge"/>
          <c:x val="0.34980968379116567"/>
          <c:y val="0.14104142631935215"/>
          <c:w val="0.25855576096726413"/>
          <c:h val="0.61795515315886651"/>
        </c:manualLayout>
      </c:layout>
      <c:doughnutChart>
        <c:varyColors val="1"/>
        <c:ser>
          <c:idx val="0"/>
          <c:order val="0"/>
          <c:tx>
            <c:strRef>
              <c:f>'Pivot Tables'!$C$18</c:f>
              <c:strCache>
                <c:ptCount val="1"/>
                <c:pt idx="0">
                  <c:v>Total</c:v>
                </c:pt>
              </c:strCache>
            </c:strRef>
          </c:tx>
          <c:spPr>
            <a:ln>
              <a:noFill/>
            </a:ln>
          </c:spPr>
          <c:dPt>
            <c:idx val="0"/>
            <c:bubble3D val="0"/>
            <c:spPr>
              <a:solidFill>
                <a:srgbClr val="385F7C"/>
              </a:solidFill>
              <a:ln w="19050">
                <a:noFill/>
              </a:ln>
              <a:effectLst/>
            </c:spPr>
            <c:extLst>
              <c:ext xmlns:c16="http://schemas.microsoft.com/office/drawing/2014/chart" uri="{C3380CC4-5D6E-409C-BE32-E72D297353CC}">
                <c16:uniqueId val="{00000001-3BED-4987-B2B6-14AF24D45C87}"/>
              </c:ext>
            </c:extLst>
          </c:dPt>
          <c:dPt>
            <c:idx val="1"/>
            <c:bubble3D val="0"/>
            <c:spPr>
              <a:solidFill>
                <a:srgbClr val="CCDCE8"/>
              </a:solidFill>
              <a:ln w="19050">
                <a:noFill/>
              </a:ln>
              <a:effectLst/>
            </c:spPr>
            <c:extLst>
              <c:ext xmlns:c16="http://schemas.microsoft.com/office/drawing/2014/chart" uri="{C3380CC4-5D6E-409C-BE32-E72D297353CC}">
                <c16:uniqueId val="{00000003-3BED-4987-B2B6-14AF24D45C87}"/>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3BED-4987-B2B6-14AF24D45C87}"/>
              </c:ext>
            </c:extLst>
          </c:dPt>
          <c:dLbls>
            <c:dLbl>
              <c:idx val="0"/>
              <c:layout>
                <c:manualLayout>
                  <c:x val="-0.13742380471047028"/>
                  <c:y val="-0.2008564842921760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BED-4987-B2B6-14AF24D45C87}"/>
                </c:ext>
              </c:extLst>
            </c:dLbl>
            <c:dLbl>
              <c:idx val="1"/>
              <c:layout>
                <c:manualLayout>
                  <c:x val="0.19418581100392535"/>
                  <c:y val="-3.570071221515329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BED-4987-B2B6-14AF24D45C87}"/>
                </c:ext>
              </c:extLst>
            </c:dLbl>
            <c:dLbl>
              <c:idx val="2"/>
              <c:layout>
                <c:manualLayout>
                  <c:x val="0.21061715332304731"/>
                  <c:y val="-1.7892210144927534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extLst>
                <c:ext xmlns:c15="http://schemas.microsoft.com/office/drawing/2012/chart" uri="{CE6537A1-D6FC-4f65-9D91-7224C49458BB}">
                  <c15:layout>
                    <c:manualLayout>
                      <c:w val="0.19340906775990963"/>
                      <c:h val="0.38644565217391302"/>
                    </c:manualLayout>
                  </c15:layout>
                </c:ext>
                <c:ext xmlns:c16="http://schemas.microsoft.com/office/drawing/2014/chart" uri="{C3380CC4-5D6E-409C-BE32-E72D297353CC}">
                  <c16:uniqueId val="{00000005-3BED-4987-B2B6-14AF24D45C87}"/>
                </c:ext>
              </c:extLst>
            </c:dLbl>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Tables'!$B$19:$B$21</c:f>
              <c:strCache>
                <c:ptCount val="3"/>
                <c:pt idx="0">
                  <c:v>In-store</c:v>
                </c:pt>
                <c:pt idx="1">
                  <c:v>Online</c:v>
                </c:pt>
                <c:pt idx="2">
                  <c:v>Outlet</c:v>
                </c:pt>
              </c:strCache>
            </c:strRef>
          </c:cat>
          <c:val>
            <c:numRef>
              <c:f>'Pivot Tables'!$C$19:$C$21</c:f>
              <c:numCache>
                <c:formatCode>[&gt;=1000000]"$"#,##0,,"M";[&gt;=1000]"$"#,##0,"K";0</c:formatCode>
                <c:ptCount val="3"/>
                <c:pt idx="0">
                  <c:v>356643750</c:v>
                </c:pt>
                <c:pt idx="1">
                  <c:v>247672882</c:v>
                </c:pt>
                <c:pt idx="2">
                  <c:v>295585493</c:v>
                </c:pt>
              </c:numCache>
            </c:numRef>
          </c:val>
          <c:extLst>
            <c:ext xmlns:c16="http://schemas.microsoft.com/office/drawing/2014/chart" uri="{C3380CC4-5D6E-409C-BE32-E72D297353CC}">
              <c16:uniqueId val="{00000006-3BED-4987-B2B6-14AF24D45C87}"/>
            </c:ext>
          </c:extLst>
        </c:ser>
        <c:dLbls>
          <c:showLegendKey val="0"/>
          <c:showVal val="1"/>
          <c:showCatName val="0"/>
          <c:showSerName val="0"/>
          <c:showPercent val="0"/>
          <c:showBubbleSize val="0"/>
          <c:showLeaderLines val="1"/>
        </c:dLbls>
        <c:firstSliceAng val="203"/>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LC"/>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Tables!Total sales by Region</c:name>
    <c:fmtId val="26"/>
  </c:pivotSource>
  <c:chart>
    <c:autoTitleDeleted val="1"/>
    <c:pivotFmts>
      <c:pivotFmt>
        <c:idx val="0"/>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Tables'!$I$15</c:f>
              <c:strCache>
                <c:ptCount val="1"/>
                <c:pt idx="0">
                  <c:v>Total</c:v>
                </c:pt>
              </c:strCache>
            </c:strRef>
          </c:tx>
          <c:spPr>
            <a:solidFill>
              <a:srgbClr val="385F7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Tables'!$H$16:$H$20</c:f>
              <c:strCache>
                <c:ptCount val="5"/>
                <c:pt idx="0">
                  <c:v>West</c:v>
                </c:pt>
                <c:pt idx="1">
                  <c:v>Northeast</c:v>
                </c:pt>
                <c:pt idx="2">
                  <c:v>Southeast</c:v>
                </c:pt>
                <c:pt idx="3">
                  <c:v>South</c:v>
                </c:pt>
                <c:pt idx="4">
                  <c:v>Midwest</c:v>
                </c:pt>
              </c:strCache>
            </c:strRef>
          </c:cat>
          <c:val>
            <c:numRef>
              <c:f>'Pivot Tables'!$I$16:$I$20</c:f>
              <c:numCache>
                <c:formatCode>[&gt;=1000000]"$"#,##0,,"M";[&gt;=1000]"$"#,##0,"K";0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FD75-410B-9760-F21FCF428CA0}"/>
            </c:ext>
          </c:extLst>
        </c:ser>
        <c:dLbls>
          <c:dLblPos val="outEnd"/>
          <c:showLegendKey val="0"/>
          <c:showVal val="1"/>
          <c:showCatName val="0"/>
          <c:showSerName val="0"/>
          <c:showPercent val="0"/>
          <c:showBubbleSize val="0"/>
        </c:dLbls>
        <c:gapWidth val="300"/>
        <c:axId val="1898649664"/>
        <c:axId val="704880256"/>
      </c:barChart>
      <c:catAx>
        <c:axId val="1898649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crossAx val="704880256"/>
        <c:crosses val="autoZero"/>
        <c:auto val="1"/>
        <c:lblAlgn val="ctr"/>
        <c:lblOffset val="100"/>
        <c:noMultiLvlLbl val="0"/>
      </c:catAx>
      <c:valAx>
        <c:axId val="704880256"/>
        <c:scaling>
          <c:orientation val="minMax"/>
        </c:scaling>
        <c:delete val="1"/>
        <c:axPos val="l"/>
        <c:numFmt formatCode="[&gt;=1000000]&quot;$&quot;#,##0,,&quot;M&quot;;[&gt;=1000]&quot;$&quot;#,##0,&quot;K&quot;;0" sourceLinked="1"/>
        <c:majorTickMark val="none"/>
        <c:minorTickMark val="none"/>
        <c:tickLblPos val="nextTo"/>
        <c:crossAx val="189864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L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Tables!Total sales by product</c:name>
    <c:fmtId val="35"/>
  </c:pivotSource>
  <c:chart>
    <c:autoTitleDeleted val="1"/>
    <c:pivotFmts>
      <c:pivotFmt>
        <c:idx val="0"/>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C"/>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Tables'!$L$9</c:f>
              <c:strCache>
                <c:ptCount val="1"/>
                <c:pt idx="0">
                  <c:v>Total</c:v>
                </c:pt>
              </c:strCache>
            </c:strRef>
          </c:tx>
          <c:spPr>
            <a:solidFill>
              <a:srgbClr val="385F7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Tables'!$K$10:$K$15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Tables'!$L$10:$L$15</c:f>
              <c:numCache>
                <c:formatCode>[&gt;=1000000]"$"#,##0,,"M";[&gt;=1000]"$"#,##0,"K";0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1111-47F6-95E3-E295C1D7524A}"/>
            </c:ext>
          </c:extLst>
        </c:ser>
        <c:dLbls>
          <c:dLblPos val="outEnd"/>
          <c:showLegendKey val="0"/>
          <c:showVal val="1"/>
          <c:showCatName val="0"/>
          <c:showSerName val="0"/>
          <c:showPercent val="0"/>
          <c:showBubbleSize val="0"/>
        </c:dLbls>
        <c:gapWidth val="300"/>
        <c:axId val="854882560"/>
        <c:axId val="704897536"/>
      </c:barChart>
      <c:catAx>
        <c:axId val="8548825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LC"/>
          </a:p>
        </c:txPr>
        <c:crossAx val="704897536"/>
        <c:crosses val="autoZero"/>
        <c:auto val="1"/>
        <c:lblAlgn val="ctr"/>
        <c:lblOffset val="100"/>
        <c:noMultiLvlLbl val="0"/>
      </c:catAx>
      <c:valAx>
        <c:axId val="704897536"/>
        <c:scaling>
          <c:orientation val="minMax"/>
        </c:scaling>
        <c:delete val="1"/>
        <c:axPos val="b"/>
        <c:numFmt formatCode="[&gt;=1000000]&quot;$&quot;#,##0,,&quot;M&quot;;[&gt;=1000]&quot;$&quot;#,##0,&quot;K&quot;;0" sourceLinked="1"/>
        <c:majorTickMark val="none"/>
        <c:minorTickMark val="none"/>
        <c:tickLblPos val="nextTo"/>
        <c:crossAx val="85488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L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6049</xdr:colOff>
      <xdr:row>0</xdr:row>
      <xdr:rowOff>52773</xdr:rowOff>
    </xdr:from>
    <xdr:to>
      <xdr:col>28</xdr:col>
      <xdr:colOff>0</xdr:colOff>
      <xdr:row>38</xdr:row>
      <xdr:rowOff>55940</xdr:rowOff>
    </xdr:to>
    <xdr:sp macro="" textlink="">
      <xdr:nvSpPr>
        <xdr:cNvPr id="2" name="Rectangle: Rounded Corners 1">
          <a:extLst>
            <a:ext uri="{FF2B5EF4-FFF2-40B4-BE49-F238E27FC236}">
              <a16:creationId xmlns:a16="http://schemas.microsoft.com/office/drawing/2014/main" id="{3A6C2022-B515-48B8-DF6B-0FFBC3DA61B1}"/>
            </a:ext>
          </a:extLst>
        </xdr:cNvPr>
        <xdr:cNvSpPr/>
      </xdr:nvSpPr>
      <xdr:spPr>
        <a:xfrm>
          <a:off x="1233716" y="52773"/>
          <a:ext cx="15953617" cy="6840000"/>
        </a:xfrm>
        <a:prstGeom prst="roundRect">
          <a:avLst>
            <a:gd name="adj" fmla="val 3226"/>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xdr:col>
      <xdr:colOff>331575</xdr:colOff>
      <xdr:row>1</xdr:row>
      <xdr:rowOff>127003</xdr:rowOff>
    </xdr:from>
    <xdr:to>
      <xdr:col>27</xdr:col>
      <xdr:colOff>328092</xdr:colOff>
      <xdr:row>37</xdr:row>
      <xdr:rowOff>58003</xdr:rowOff>
    </xdr:to>
    <xdr:sp macro="" textlink="">
      <xdr:nvSpPr>
        <xdr:cNvPr id="3" name="Rectangle: Rounded Corners 2">
          <a:extLst>
            <a:ext uri="{FF2B5EF4-FFF2-40B4-BE49-F238E27FC236}">
              <a16:creationId xmlns:a16="http://schemas.microsoft.com/office/drawing/2014/main" id="{6D9967CE-FBC4-46F6-8090-19CDD9278CD4}"/>
            </a:ext>
          </a:extLst>
        </xdr:cNvPr>
        <xdr:cNvSpPr/>
      </xdr:nvSpPr>
      <xdr:spPr>
        <a:xfrm>
          <a:off x="1559242" y="306920"/>
          <a:ext cx="15342350" cy="6408000"/>
        </a:xfrm>
        <a:prstGeom prst="roundRect">
          <a:avLst>
            <a:gd name="adj" fmla="val 3898"/>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xdr:col>
      <xdr:colOff>467187</xdr:colOff>
      <xdr:row>5</xdr:row>
      <xdr:rowOff>52918</xdr:rowOff>
    </xdr:from>
    <xdr:to>
      <xdr:col>10</xdr:col>
      <xdr:colOff>198501</xdr:colOff>
      <xdr:row>13</xdr:row>
      <xdr:rowOff>87099</xdr:rowOff>
    </xdr:to>
    <xdr:sp macro="" textlink="">
      <xdr:nvSpPr>
        <xdr:cNvPr id="4" name="Rectangle: Rounded Corners 3">
          <a:extLst>
            <a:ext uri="{FF2B5EF4-FFF2-40B4-BE49-F238E27FC236}">
              <a16:creationId xmlns:a16="http://schemas.microsoft.com/office/drawing/2014/main" id="{4F6C2AC1-34BD-3D14-BE6F-4B68EF8A1A49}"/>
            </a:ext>
          </a:extLst>
        </xdr:cNvPr>
        <xdr:cNvSpPr/>
      </xdr:nvSpPr>
      <xdr:spPr>
        <a:xfrm>
          <a:off x="1694854" y="952501"/>
          <a:ext cx="4641980" cy="1473515"/>
        </a:xfrm>
        <a:prstGeom prst="roundRect">
          <a:avLst>
            <a:gd name="adj" fmla="val 328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xdr:col>
      <xdr:colOff>448740</xdr:colOff>
      <xdr:row>13</xdr:row>
      <xdr:rowOff>174147</xdr:rowOff>
    </xdr:from>
    <xdr:to>
      <xdr:col>10</xdr:col>
      <xdr:colOff>178474</xdr:colOff>
      <xdr:row>36</xdr:row>
      <xdr:rowOff>173420</xdr:rowOff>
    </xdr:to>
    <xdr:sp macro="" textlink="">
      <xdr:nvSpPr>
        <xdr:cNvPr id="6" name="Rectangle: Rounded Corners 5">
          <a:extLst>
            <a:ext uri="{FF2B5EF4-FFF2-40B4-BE49-F238E27FC236}">
              <a16:creationId xmlns:a16="http://schemas.microsoft.com/office/drawing/2014/main" id="{AC53A07C-7987-436E-9C44-7CE24AAB7ECF}"/>
            </a:ext>
          </a:extLst>
        </xdr:cNvPr>
        <xdr:cNvSpPr/>
      </xdr:nvSpPr>
      <xdr:spPr>
        <a:xfrm>
          <a:off x="1676407" y="2513064"/>
          <a:ext cx="4640400" cy="4137356"/>
        </a:xfrm>
        <a:prstGeom prst="roundRect">
          <a:avLst>
            <a:gd name="adj" fmla="val 252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10</xdr:col>
      <xdr:colOff>279408</xdr:colOff>
      <xdr:row>5</xdr:row>
      <xdr:rowOff>46573</xdr:rowOff>
    </xdr:from>
    <xdr:to>
      <xdr:col>21</xdr:col>
      <xdr:colOff>359833</xdr:colOff>
      <xdr:row>19</xdr:row>
      <xdr:rowOff>47739</xdr:rowOff>
    </xdr:to>
    <xdr:sp macro="" textlink="">
      <xdr:nvSpPr>
        <xdr:cNvPr id="7" name="Rectangle: Rounded Corners 6">
          <a:extLst>
            <a:ext uri="{FF2B5EF4-FFF2-40B4-BE49-F238E27FC236}">
              <a16:creationId xmlns:a16="http://schemas.microsoft.com/office/drawing/2014/main" id="{261B6AAB-4A56-4E4B-AB7D-A6F70F6B24EA}"/>
            </a:ext>
          </a:extLst>
        </xdr:cNvPr>
        <xdr:cNvSpPr/>
      </xdr:nvSpPr>
      <xdr:spPr>
        <a:xfrm>
          <a:off x="6417741" y="946156"/>
          <a:ext cx="6832592" cy="2520000"/>
        </a:xfrm>
        <a:prstGeom prst="roundRect">
          <a:avLst>
            <a:gd name="adj" fmla="val 26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10</xdr:col>
      <xdr:colOff>273057</xdr:colOff>
      <xdr:row>19</xdr:row>
      <xdr:rowOff>105833</xdr:rowOff>
    </xdr:from>
    <xdr:to>
      <xdr:col>21</xdr:col>
      <xdr:colOff>353690</xdr:colOff>
      <xdr:row>36</xdr:row>
      <xdr:rowOff>151719</xdr:rowOff>
    </xdr:to>
    <xdr:sp macro="" textlink="">
      <xdr:nvSpPr>
        <xdr:cNvPr id="8" name="Rectangle: Rounded Corners 7">
          <a:extLst>
            <a:ext uri="{FF2B5EF4-FFF2-40B4-BE49-F238E27FC236}">
              <a16:creationId xmlns:a16="http://schemas.microsoft.com/office/drawing/2014/main" id="{5E3F6620-D54A-4D16-8A6D-A6D3C87B95C7}"/>
            </a:ext>
          </a:extLst>
        </xdr:cNvPr>
        <xdr:cNvSpPr/>
      </xdr:nvSpPr>
      <xdr:spPr>
        <a:xfrm>
          <a:off x="6411390" y="3524250"/>
          <a:ext cx="6832800" cy="3104469"/>
        </a:xfrm>
        <a:prstGeom prst="roundRect">
          <a:avLst>
            <a:gd name="adj" fmla="val 2629"/>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21</xdr:col>
      <xdr:colOff>444500</xdr:colOff>
      <xdr:row>5</xdr:row>
      <xdr:rowOff>42334</xdr:rowOff>
    </xdr:from>
    <xdr:to>
      <xdr:col>27</xdr:col>
      <xdr:colOff>217500</xdr:colOff>
      <xdr:row>36</xdr:row>
      <xdr:rowOff>147788</xdr:rowOff>
    </xdr:to>
    <xdr:sp macro="" textlink="">
      <xdr:nvSpPr>
        <xdr:cNvPr id="9" name="Rectangle: Rounded Corners 8">
          <a:extLst>
            <a:ext uri="{FF2B5EF4-FFF2-40B4-BE49-F238E27FC236}">
              <a16:creationId xmlns:a16="http://schemas.microsoft.com/office/drawing/2014/main" id="{A861BD6C-C2A4-4DE3-AFE4-5AAB9DE73B5F}"/>
            </a:ext>
          </a:extLst>
        </xdr:cNvPr>
        <xdr:cNvSpPr/>
      </xdr:nvSpPr>
      <xdr:spPr>
        <a:xfrm>
          <a:off x="13335000" y="941917"/>
          <a:ext cx="3456000" cy="5682871"/>
        </a:xfrm>
        <a:prstGeom prst="roundRect">
          <a:avLst>
            <a:gd name="adj" fmla="val 1769"/>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xdr:col>
      <xdr:colOff>565161</xdr:colOff>
      <xdr:row>5</xdr:row>
      <xdr:rowOff>170122</xdr:rowOff>
    </xdr:from>
    <xdr:to>
      <xdr:col>4</xdr:col>
      <xdr:colOff>359836</xdr:colOff>
      <xdr:row>12</xdr:row>
      <xdr:rowOff>173031</xdr:rowOff>
    </xdr:to>
    <xdr:sp macro="" textlink="">
      <xdr:nvSpPr>
        <xdr:cNvPr id="10" name="Rectangle: Rounded Corners 9">
          <a:extLst>
            <a:ext uri="{FF2B5EF4-FFF2-40B4-BE49-F238E27FC236}">
              <a16:creationId xmlns:a16="http://schemas.microsoft.com/office/drawing/2014/main" id="{CC10F71A-152B-44D1-87AF-2862D1CF1C89}"/>
            </a:ext>
          </a:extLst>
        </xdr:cNvPr>
        <xdr:cNvSpPr/>
      </xdr:nvSpPr>
      <xdr:spPr>
        <a:xfrm>
          <a:off x="1792828" y="1069705"/>
          <a:ext cx="1022341" cy="1262326"/>
        </a:xfrm>
        <a:prstGeom prst="roundRect">
          <a:avLst>
            <a:gd name="adj" fmla="val 808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a:p>
          <a:pPr algn="l"/>
          <a:endParaRPr lang="en-US" sz="1100"/>
        </a:p>
        <a:p>
          <a:pPr algn="l"/>
          <a:endParaRPr lang="en-US" sz="1100"/>
        </a:p>
        <a:p>
          <a:pPr algn="l"/>
          <a:endParaRPr lang="en-US" sz="1100"/>
        </a:p>
        <a:p>
          <a:pPr algn="l"/>
          <a:endParaRPr lang="en-LC" sz="1100"/>
        </a:p>
      </xdr:txBody>
    </xdr:sp>
    <xdr:clientData/>
  </xdr:twoCellAnchor>
  <xdr:twoCellAnchor>
    <xdr:from>
      <xdr:col>4</xdr:col>
      <xdr:colOff>438868</xdr:colOff>
      <xdr:row>5</xdr:row>
      <xdr:rowOff>170395</xdr:rowOff>
    </xdr:from>
    <xdr:to>
      <xdr:col>6</xdr:col>
      <xdr:colOff>233542</xdr:colOff>
      <xdr:row>12</xdr:row>
      <xdr:rowOff>173304</xdr:rowOff>
    </xdr:to>
    <xdr:sp macro="" textlink="">
      <xdr:nvSpPr>
        <xdr:cNvPr id="11" name="Rectangle: Rounded Corners 10">
          <a:extLst>
            <a:ext uri="{FF2B5EF4-FFF2-40B4-BE49-F238E27FC236}">
              <a16:creationId xmlns:a16="http://schemas.microsoft.com/office/drawing/2014/main" id="{65DE76E8-4CE6-4AAF-BC44-A81D44131D24}"/>
            </a:ext>
          </a:extLst>
        </xdr:cNvPr>
        <xdr:cNvSpPr/>
      </xdr:nvSpPr>
      <xdr:spPr>
        <a:xfrm>
          <a:off x="2894201" y="1069978"/>
          <a:ext cx="1022341" cy="1262326"/>
        </a:xfrm>
        <a:prstGeom prst="roundRect">
          <a:avLst>
            <a:gd name="adj" fmla="val 808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6</xdr:col>
      <xdr:colOff>312574</xdr:colOff>
      <xdr:row>5</xdr:row>
      <xdr:rowOff>170395</xdr:rowOff>
    </xdr:from>
    <xdr:to>
      <xdr:col>8</xdr:col>
      <xdr:colOff>107248</xdr:colOff>
      <xdr:row>12</xdr:row>
      <xdr:rowOff>173304</xdr:rowOff>
    </xdr:to>
    <xdr:sp macro="" textlink="">
      <xdr:nvSpPr>
        <xdr:cNvPr id="12" name="Rectangle: Rounded Corners 11">
          <a:extLst>
            <a:ext uri="{FF2B5EF4-FFF2-40B4-BE49-F238E27FC236}">
              <a16:creationId xmlns:a16="http://schemas.microsoft.com/office/drawing/2014/main" id="{76BAF37D-87AB-4217-B7BC-6D4F7209E915}"/>
            </a:ext>
          </a:extLst>
        </xdr:cNvPr>
        <xdr:cNvSpPr/>
      </xdr:nvSpPr>
      <xdr:spPr>
        <a:xfrm>
          <a:off x="3995574" y="1069978"/>
          <a:ext cx="1022341" cy="1262326"/>
        </a:xfrm>
        <a:prstGeom prst="roundRect">
          <a:avLst>
            <a:gd name="adj" fmla="val 808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8</xdr:col>
      <xdr:colOff>186279</xdr:colOff>
      <xdr:row>5</xdr:row>
      <xdr:rowOff>170395</xdr:rowOff>
    </xdr:from>
    <xdr:to>
      <xdr:col>9</xdr:col>
      <xdr:colOff>594787</xdr:colOff>
      <xdr:row>12</xdr:row>
      <xdr:rowOff>173304</xdr:rowOff>
    </xdr:to>
    <xdr:sp macro="" textlink="">
      <xdr:nvSpPr>
        <xdr:cNvPr id="13" name="Rectangle: Rounded Corners 12">
          <a:extLst>
            <a:ext uri="{FF2B5EF4-FFF2-40B4-BE49-F238E27FC236}">
              <a16:creationId xmlns:a16="http://schemas.microsoft.com/office/drawing/2014/main" id="{5CAE925B-A606-4602-B543-2CC946F074B0}"/>
            </a:ext>
          </a:extLst>
        </xdr:cNvPr>
        <xdr:cNvSpPr/>
      </xdr:nvSpPr>
      <xdr:spPr>
        <a:xfrm>
          <a:off x="5096946" y="1069978"/>
          <a:ext cx="1022341" cy="1262326"/>
        </a:xfrm>
        <a:prstGeom prst="roundRect">
          <a:avLst>
            <a:gd name="adj" fmla="val 808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2</xdr:col>
      <xdr:colOff>465662</xdr:colOff>
      <xdr:row>2</xdr:row>
      <xdr:rowOff>10156</xdr:rowOff>
    </xdr:from>
    <xdr:to>
      <xdr:col>8</xdr:col>
      <xdr:colOff>94662</xdr:colOff>
      <xdr:row>3</xdr:row>
      <xdr:rowOff>154239</xdr:rowOff>
    </xdr:to>
    <xdr:sp macro="" textlink="">
      <xdr:nvSpPr>
        <xdr:cNvPr id="14" name="Rectangle 13">
          <a:extLst>
            <a:ext uri="{FF2B5EF4-FFF2-40B4-BE49-F238E27FC236}">
              <a16:creationId xmlns:a16="http://schemas.microsoft.com/office/drawing/2014/main" id="{92722460-900C-8E0B-EDA7-BC45CED5A99D}"/>
            </a:ext>
          </a:extLst>
        </xdr:cNvPr>
        <xdr:cNvSpPr/>
      </xdr:nvSpPr>
      <xdr:spPr>
        <a:xfrm>
          <a:off x="1693329" y="369989"/>
          <a:ext cx="3312000" cy="32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200" b="0">
              <a:solidFill>
                <a:srgbClr val="385F7C"/>
              </a:solidFill>
              <a:latin typeface="Calibri" panose="020F0502020204030204" pitchFamily="34" charset="0"/>
              <a:cs typeface="Calibri" panose="020F0502020204030204" pitchFamily="34" charset="0"/>
            </a:rPr>
            <a:t>ADIDAS</a:t>
          </a:r>
          <a:r>
            <a:rPr lang="en-US" sz="2200" b="0" baseline="0">
              <a:solidFill>
                <a:srgbClr val="385F7C"/>
              </a:solidFill>
              <a:latin typeface="Calibri" panose="020F0502020204030204" pitchFamily="34" charset="0"/>
              <a:cs typeface="Calibri" panose="020F0502020204030204" pitchFamily="34" charset="0"/>
            </a:rPr>
            <a:t> SALES DASHBOARD</a:t>
          </a:r>
          <a:endParaRPr lang="en-LC" sz="2200" b="0">
            <a:solidFill>
              <a:srgbClr val="385F7C"/>
            </a:solidFill>
            <a:latin typeface="Calibri" panose="020F0502020204030204" pitchFamily="34" charset="0"/>
            <a:cs typeface="Calibri" panose="020F0502020204030204" pitchFamily="34" charset="0"/>
          </a:endParaRPr>
        </a:p>
      </xdr:txBody>
    </xdr:sp>
    <xdr:clientData/>
  </xdr:twoCellAnchor>
  <xdr:twoCellAnchor>
    <xdr:from>
      <xdr:col>10</xdr:col>
      <xdr:colOff>325967</xdr:colOff>
      <xdr:row>5</xdr:row>
      <xdr:rowOff>70912</xdr:rowOff>
    </xdr:from>
    <xdr:to>
      <xdr:col>12</xdr:col>
      <xdr:colOff>476249</xdr:colOff>
      <xdr:row>6</xdr:row>
      <xdr:rowOff>158750</xdr:rowOff>
    </xdr:to>
    <xdr:sp macro="" textlink="">
      <xdr:nvSpPr>
        <xdr:cNvPr id="19" name="Rectangle 18">
          <a:extLst>
            <a:ext uri="{FF2B5EF4-FFF2-40B4-BE49-F238E27FC236}">
              <a16:creationId xmlns:a16="http://schemas.microsoft.com/office/drawing/2014/main" id="{82498729-7DE1-4749-ACBE-D2A8C1369736}"/>
            </a:ext>
          </a:extLst>
        </xdr:cNvPr>
        <xdr:cNvSpPr/>
      </xdr:nvSpPr>
      <xdr:spPr>
        <a:xfrm>
          <a:off x="6464300" y="970495"/>
          <a:ext cx="1377949" cy="267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200" baseline="0">
              <a:solidFill>
                <a:srgbClr val="385F7C"/>
              </a:solidFill>
              <a:latin typeface="Calibri" panose="020F0502020204030204" pitchFamily="34" charset="0"/>
              <a:cs typeface="Calibri" panose="020F0502020204030204" pitchFamily="34" charset="0"/>
            </a:rPr>
            <a:t>Sales Trend</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10</xdr:col>
      <xdr:colOff>325967</xdr:colOff>
      <xdr:row>19</xdr:row>
      <xdr:rowOff>170388</xdr:rowOff>
    </xdr:from>
    <xdr:to>
      <xdr:col>14</xdr:col>
      <xdr:colOff>455082</xdr:colOff>
      <xdr:row>21</xdr:row>
      <xdr:rowOff>84667</xdr:rowOff>
    </xdr:to>
    <xdr:sp macro="" textlink="">
      <xdr:nvSpPr>
        <xdr:cNvPr id="20" name="Rectangle 19">
          <a:extLst>
            <a:ext uri="{FF2B5EF4-FFF2-40B4-BE49-F238E27FC236}">
              <a16:creationId xmlns:a16="http://schemas.microsoft.com/office/drawing/2014/main" id="{87EDA593-0263-46E7-BC9D-8A3DD46D12A4}"/>
            </a:ext>
          </a:extLst>
        </xdr:cNvPr>
        <xdr:cNvSpPr/>
      </xdr:nvSpPr>
      <xdr:spPr>
        <a:xfrm>
          <a:off x="6464300" y="3588805"/>
          <a:ext cx="2584449" cy="2741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385F7C"/>
              </a:solidFill>
              <a:latin typeface="Calibri" panose="020F0502020204030204" pitchFamily="34" charset="0"/>
              <a:cs typeface="Calibri" panose="020F0502020204030204" pitchFamily="34" charset="0"/>
            </a:rPr>
            <a:t>Regional</a:t>
          </a:r>
          <a:r>
            <a:rPr lang="en-US" sz="1200" baseline="0">
              <a:solidFill>
                <a:srgbClr val="385F7C"/>
              </a:solidFill>
              <a:latin typeface="Calibri" panose="020F0502020204030204" pitchFamily="34" charset="0"/>
              <a:cs typeface="Calibri" panose="020F0502020204030204" pitchFamily="34" charset="0"/>
            </a:rPr>
            <a:t> Performance vs Benchmark</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21</xdr:col>
      <xdr:colOff>531269</xdr:colOff>
      <xdr:row>5</xdr:row>
      <xdr:rowOff>128065</xdr:rowOff>
    </xdr:from>
    <xdr:to>
      <xdr:col>24</xdr:col>
      <xdr:colOff>67718</xdr:colOff>
      <xdr:row>7</xdr:row>
      <xdr:rowOff>35986</xdr:rowOff>
    </xdr:to>
    <xdr:sp macro="" textlink="">
      <xdr:nvSpPr>
        <xdr:cNvPr id="21" name="Rectangle 20">
          <a:extLst>
            <a:ext uri="{FF2B5EF4-FFF2-40B4-BE49-F238E27FC236}">
              <a16:creationId xmlns:a16="http://schemas.microsoft.com/office/drawing/2014/main" id="{F365DF71-44F6-4DB9-8D73-2DC6A592ADAC}"/>
            </a:ext>
          </a:extLst>
        </xdr:cNvPr>
        <xdr:cNvSpPr/>
      </xdr:nvSpPr>
      <xdr:spPr>
        <a:xfrm>
          <a:off x="13421769" y="1027648"/>
          <a:ext cx="1377949" cy="267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solidFill>
                <a:srgbClr val="385F7C"/>
              </a:solidFill>
              <a:latin typeface="Calibri" panose="020F0502020204030204" pitchFamily="34" charset="0"/>
              <a:cs typeface="Calibri" panose="020F0502020204030204" pitchFamily="34" charset="0"/>
            </a:rPr>
            <a:t>Sales by Retailer</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2</xdr:col>
      <xdr:colOff>465666</xdr:colOff>
      <xdr:row>14</xdr:row>
      <xdr:rowOff>103918</xdr:rowOff>
    </xdr:from>
    <xdr:to>
      <xdr:col>5</xdr:col>
      <xdr:colOff>211669</xdr:colOff>
      <xdr:row>16</xdr:row>
      <xdr:rowOff>35610</xdr:rowOff>
    </xdr:to>
    <xdr:sp macro="" textlink="">
      <xdr:nvSpPr>
        <xdr:cNvPr id="22" name="Rectangle 21">
          <a:extLst>
            <a:ext uri="{FF2B5EF4-FFF2-40B4-BE49-F238E27FC236}">
              <a16:creationId xmlns:a16="http://schemas.microsoft.com/office/drawing/2014/main" id="{46267949-9D35-46CA-BB72-49FFEAEBDCE1}"/>
            </a:ext>
          </a:extLst>
        </xdr:cNvPr>
        <xdr:cNvSpPr/>
      </xdr:nvSpPr>
      <xdr:spPr>
        <a:xfrm>
          <a:off x="1693333" y="2622751"/>
          <a:ext cx="1587503" cy="2915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rgbClr val="385F7C"/>
              </a:solidFill>
              <a:latin typeface="Calibri" panose="020F0502020204030204" pitchFamily="34" charset="0"/>
              <a:cs typeface="Calibri" panose="020F0502020204030204" pitchFamily="34" charset="0"/>
            </a:rPr>
            <a:t>Sales by Sales Method</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4</xdr:col>
      <xdr:colOff>483371</xdr:colOff>
      <xdr:row>7</xdr:row>
      <xdr:rowOff>138792</xdr:rowOff>
    </xdr:from>
    <xdr:to>
      <xdr:col>6</xdr:col>
      <xdr:colOff>159552</xdr:colOff>
      <xdr:row>10</xdr:row>
      <xdr:rowOff>26506</xdr:rowOff>
    </xdr:to>
    <xdr:sp macro="" textlink="'Pivot Tables'!B14">
      <xdr:nvSpPr>
        <xdr:cNvPr id="24" name="TextBox 23">
          <a:extLst>
            <a:ext uri="{FF2B5EF4-FFF2-40B4-BE49-F238E27FC236}">
              <a16:creationId xmlns:a16="http://schemas.microsoft.com/office/drawing/2014/main" id="{5A359691-D7ED-4D42-922C-591454A6A071}"/>
            </a:ext>
          </a:extLst>
        </xdr:cNvPr>
        <xdr:cNvSpPr txBox="1"/>
      </xdr:nvSpPr>
      <xdr:spPr>
        <a:xfrm>
          <a:off x="2938704" y="1398209"/>
          <a:ext cx="903848"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EEAAC5-0C31-4F77-BEBC-C4CDD98E90F2}" type="TxLink">
            <a:rPr lang="en-US" sz="1800" b="0" i="0" u="none" strike="noStrike">
              <a:solidFill>
                <a:srgbClr val="385F7C"/>
              </a:solidFill>
              <a:latin typeface="Calibri" panose="020F0502020204030204" pitchFamily="34" charset="0"/>
              <a:ea typeface="+mn-ea"/>
              <a:cs typeface="Calibri" panose="020F0502020204030204" pitchFamily="34" charset="0"/>
            </a:rPr>
            <a:pPr marL="0" indent="0" algn="ctr"/>
            <a:t>2.5M</a:t>
          </a:fld>
          <a:endParaRPr lang="en-LC" sz="1800" b="0" i="0" u="none" strike="noStrike">
            <a:solidFill>
              <a:srgbClr val="385F7C"/>
            </a:solidFill>
            <a:latin typeface="Calibri" panose="020F0502020204030204" pitchFamily="34" charset="0"/>
            <a:ea typeface="+mn-ea"/>
            <a:cs typeface="Calibri" panose="020F0502020204030204" pitchFamily="34" charset="0"/>
          </a:endParaRPr>
        </a:p>
      </xdr:txBody>
    </xdr:sp>
    <xdr:clientData/>
  </xdr:twoCellAnchor>
  <xdr:twoCellAnchor>
    <xdr:from>
      <xdr:col>3</xdr:col>
      <xdr:colOff>23092</xdr:colOff>
      <xdr:row>7</xdr:row>
      <xdr:rowOff>138792</xdr:rowOff>
    </xdr:from>
    <xdr:to>
      <xdr:col>4</xdr:col>
      <xdr:colOff>311183</xdr:colOff>
      <xdr:row>10</xdr:row>
      <xdr:rowOff>26506</xdr:rowOff>
    </xdr:to>
    <xdr:sp macro="" textlink="'Pivot Tables'!B13">
      <xdr:nvSpPr>
        <xdr:cNvPr id="23" name="TextBox 22">
          <a:extLst>
            <a:ext uri="{FF2B5EF4-FFF2-40B4-BE49-F238E27FC236}">
              <a16:creationId xmlns:a16="http://schemas.microsoft.com/office/drawing/2014/main" id="{2F8A4104-0125-B39F-F8A4-C10B069F5AF8}"/>
            </a:ext>
          </a:extLst>
        </xdr:cNvPr>
        <xdr:cNvSpPr txBox="1"/>
      </xdr:nvSpPr>
      <xdr:spPr>
        <a:xfrm>
          <a:off x="1864592" y="1398209"/>
          <a:ext cx="901924"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B76DE3-28D2-4E0D-8BF3-5F4F168D4A16}" type="TxLink">
            <a:rPr lang="en-US" sz="1800" b="0" i="0" u="none" strike="noStrike">
              <a:solidFill>
                <a:srgbClr val="385F7C"/>
              </a:solidFill>
              <a:latin typeface="Calibri"/>
              <a:ea typeface="+mn-ea"/>
              <a:cs typeface="Calibri"/>
            </a:rPr>
            <a:pPr marL="0" indent="0" algn="ctr"/>
            <a:t>$900M</a:t>
          </a:fld>
          <a:endParaRPr lang="en-US" sz="1800" b="0" i="0" u="none" strike="noStrike">
            <a:solidFill>
              <a:srgbClr val="385F7C"/>
            </a:solidFill>
            <a:latin typeface="Calibri"/>
            <a:ea typeface="+mn-ea"/>
            <a:cs typeface="Calibri"/>
          </a:endParaRPr>
        </a:p>
      </xdr:txBody>
    </xdr:sp>
    <xdr:clientData/>
  </xdr:twoCellAnchor>
  <xdr:twoCellAnchor>
    <xdr:from>
      <xdr:col>6</xdr:col>
      <xdr:colOff>331740</xdr:colOff>
      <xdr:row>7</xdr:row>
      <xdr:rowOff>138792</xdr:rowOff>
    </xdr:from>
    <xdr:to>
      <xdr:col>8</xdr:col>
      <xdr:colOff>7922</xdr:colOff>
      <xdr:row>10</xdr:row>
      <xdr:rowOff>26506</xdr:rowOff>
    </xdr:to>
    <xdr:sp macro="" textlink="'Pivot Tables'!B15">
      <xdr:nvSpPr>
        <xdr:cNvPr id="25" name="TextBox 24">
          <a:extLst>
            <a:ext uri="{FF2B5EF4-FFF2-40B4-BE49-F238E27FC236}">
              <a16:creationId xmlns:a16="http://schemas.microsoft.com/office/drawing/2014/main" id="{54A2C0CE-2455-404B-8DE5-870AD73B0D5C}"/>
            </a:ext>
          </a:extLst>
        </xdr:cNvPr>
        <xdr:cNvSpPr txBox="1"/>
      </xdr:nvSpPr>
      <xdr:spPr>
        <a:xfrm>
          <a:off x="4014740" y="1398209"/>
          <a:ext cx="903849"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AFCFA9-F7A9-4EAE-BE7D-157C8D6636B0}" type="TxLink">
            <a:rPr lang="en-US" sz="1800" b="0" i="0" u="none" strike="noStrike">
              <a:solidFill>
                <a:srgbClr val="385F7C"/>
              </a:solidFill>
              <a:latin typeface="Calibri"/>
              <a:ea typeface="+mn-ea"/>
              <a:cs typeface="Calibri"/>
            </a:rPr>
            <a:pPr marL="0" indent="0" algn="ctr"/>
            <a:t>$899M</a:t>
          </a:fld>
          <a:endParaRPr lang="en-LC" sz="1800" b="0" i="0" u="none" strike="noStrike">
            <a:solidFill>
              <a:srgbClr val="385F7C"/>
            </a:solidFill>
            <a:latin typeface="Calibri"/>
            <a:ea typeface="+mn-ea"/>
            <a:cs typeface="Calibri"/>
          </a:endParaRPr>
        </a:p>
      </xdr:txBody>
    </xdr:sp>
    <xdr:clientData/>
  </xdr:twoCellAnchor>
  <xdr:twoCellAnchor>
    <xdr:from>
      <xdr:col>8</xdr:col>
      <xdr:colOff>180109</xdr:colOff>
      <xdr:row>7</xdr:row>
      <xdr:rowOff>138792</xdr:rowOff>
    </xdr:from>
    <xdr:to>
      <xdr:col>10</xdr:col>
      <xdr:colOff>0</xdr:colOff>
      <xdr:row>10</xdr:row>
      <xdr:rowOff>26506</xdr:rowOff>
    </xdr:to>
    <xdr:sp macro="" textlink="'Pivot Tables'!B16">
      <xdr:nvSpPr>
        <xdr:cNvPr id="26" name="TextBox 25">
          <a:extLst>
            <a:ext uri="{FF2B5EF4-FFF2-40B4-BE49-F238E27FC236}">
              <a16:creationId xmlns:a16="http://schemas.microsoft.com/office/drawing/2014/main" id="{1177D87A-3A26-41A7-AD4F-073A462F36EB}"/>
            </a:ext>
          </a:extLst>
        </xdr:cNvPr>
        <xdr:cNvSpPr txBox="1"/>
      </xdr:nvSpPr>
      <xdr:spPr>
        <a:xfrm>
          <a:off x="5090776" y="1398209"/>
          <a:ext cx="1047557"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AC29FC-948E-4778-BFC3-0C1C18B49262}" type="TxLink">
            <a:rPr lang="en-US" sz="1800" b="0" i="0" u="none" strike="noStrike">
              <a:solidFill>
                <a:srgbClr val="385F7C"/>
              </a:solidFill>
              <a:latin typeface="Calibri" panose="020F0502020204030204" pitchFamily="34" charset="0"/>
              <a:cs typeface="Calibri" panose="020F0502020204030204" pitchFamily="34" charset="0"/>
            </a:rPr>
            <a:pPr algn="ctr"/>
            <a:t>99.95%</a:t>
          </a:fld>
          <a:endParaRPr lang="en-LC" sz="1800" b="0">
            <a:solidFill>
              <a:srgbClr val="385F7C"/>
            </a:solidFill>
            <a:latin typeface="Calibri" panose="020F0502020204030204" pitchFamily="34" charset="0"/>
            <a:cs typeface="Calibri" panose="020F0502020204030204" pitchFamily="34" charset="0"/>
          </a:endParaRPr>
        </a:p>
      </xdr:txBody>
    </xdr:sp>
    <xdr:clientData/>
  </xdr:twoCellAnchor>
  <xdr:twoCellAnchor>
    <xdr:from>
      <xdr:col>3</xdr:col>
      <xdr:colOff>13858</xdr:colOff>
      <xdr:row>6</xdr:row>
      <xdr:rowOff>56573</xdr:rowOff>
    </xdr:from>
    <xdr:to>
      <xdr:col>4</xdr:col>
      <xdr:colOff>301949</xdr:colOff>
      <xdr:row>8</xdr:row>
      <xdr:rowOff>47119</xdr:rowOff>
    </xdr:to>
    <xdr:sp macro="" textlink="sales">
      <xdr:nvSpPr>
        <xdr:cNvPr id="27" name="TextBox 26">
          <a:extLst>
            <a:ext uri="{FF2B5EF4-FFF2-40B4-BE49-F238E27FC236}">
              <a16:creationId xmlns:a16="http://schemas.microsoft.com/office/drawing/2014/main" id="{62BC5CA5-CFF9-44FB-B203-AD4E5F615050}"/>
            </a:ext>
          </a:extLst>
        </xdr:cNvPr>
        <xdr:cNvSpPr txBox="1"/>
      </xdr:nvSpPr>
      <xdr:spPr>
        <a:xfrm>
          <a:off x="1855358" y="1136073"/>
          <a:ext cx="901924" cy="3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Calibri" panose="020F0502020204030204" pitchFamily="34" charset="0"/>
              <a:cs typeface="Calibri" panose="020F0502020204030204" pitchFamily="34" charset="0"/>
            </a:rPr>
            <a:t>Sales</a:t>
          </a:r>
          <a:endParaRPr lang="en-LC" sz="1200" b="0">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4</xdr:col>
      <xdr:colOff>478754</xdr:colOff>
      <xdr:row>6</xdr:row>
      <xdr:rowOff>56573</xdr:rowOff>
    </xdr:from>
    <xdr:to>
      <xdr:col>6</xdr:col>
      <xdr:colOff>154935</xdr:colOff>
      <xdr:row>8</xdr:row>
      <xdr:rowOff>47119</xdr:rowOff>
    </xdr:to>
    <xdr:sp macro="" textlink="sales">
      <xdr:nvSpPr>
        <xdr:cNvPr id="28" name="TextBox 27">
          <a:extLst>
            <a:ext uri="{FF2B5EF4-FFF2-40B4-BE49-F238E27FC236}">
              <a16:creationId xmlns:a16="http://schemas.microsoft.com/office/drawing/2014/main" id="{ADF1A886-0DA8-497D-9F5E-2CA085AE3B6B}"/>
            </a:ext>
          </a:extLst>
        </xdr:cNvPr>
        <xdr:cNvSpPr txBox="1"/>
      </xdr:nvSpPr>
      <xdr:spPr>
        <a:xfrm>
          <a:off x="2934087" y="1136073"/>
          <a:ext cx="903848" cy="3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ysClr val="windowText" lastClr="000000"/>
              </a:solidFill>
              <a:latin typeface="Calibri" panose="020F0502020204030204" pitchFamily="34" charset="0"/>
              <a:ea typeface="+mn-ea"/>
              <a:cs typeface="Calibri" panose="020F0502020204030204" pitchFamily="34" charset="0"/>
            </a:rPr>
            <a:t>Quantity</a:t>
          </a:r>
          <a:endParaRPr lang="en-LC" sz="1200" b="0">
            <a:solidFill>
              <a:sysClr val="windowText" lastClr="000000"/>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331740</xdr:colOff>
      <xdr:row>6</xdr:row>
      <xdr:rowOff>56573</xdr:rowOff>
    </xdr:from>
    <xdr:to>
      <xdr:col>8</xdr:col>
      <xdr:colOff>7922</xdr:colOff>
      <xdr:row>8</xdr:row>
      <xdr:rowOff>47119</xdr:rowOff>
    </xdr:to>
    <xdr:sp macro="" textlink="sales">
      <xdr:nvSpPr>
        <xdr:cNvPr id="29" name="TextBox 28">
          <a:extLst>
            <a:ext uri="{FF2B5EF4-FFF2-40B4-BE49-F238E27FC236}">
              <a16:creationId xmlns:a16="http://schemas.microsoft.com/office/drawing/2014/main" id="{15DA1159-04E9-49A2-BAC8-6FD20B2CE8D5}"/>
            </a:ext>
          </a:extLst>
        </xdr:cNvPr>
        <xdr:cNvSpPr txBox="1"/>
      </xdr:nvSpPr>
      <xdr:spPr>
        <a:xfrm>
          <a:off x="4014740" y="1136073"/>
          <a:ext cx="903849" cy="3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ysClr val="windowText" lastClr="000000"/>
              </a:solidFill>
              <a:latin typeface="Calibri" panose="020F0502020204030204" pitchFamily="34" charset="0"/>
              <a:ea typeface="+mn-ea"/>
              <a:cs typeface="Calibri" panose="020F0502020204030204" pitchFamily="34" charset="0"/>
            </a:rPr>
            <a:t>Profit</a:t>
          </a:r>
          <a:endParaRPr lang="en-LC" sz="1200" b="0">
            <a:solidFill>
              <a:sysClr val="windowText" lastClr="000000"/>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184728</xdr:colOff>
      <xdr:row>6</xdr:row>
      <xdr:rowOff>56573</xdr:rowOff>
    </xdr:from>
    <xdr:to>
      <xdr:col>9</xdr:col>
      <xdr:colOff>588819</xdr:colOff>
      <xdr:row>8</xdr:row>
      <xdr:rowOff>47119</xdr:rowOff>
    </xdr:to>
    <xdr:sp macro="" textlink="sales">
      <xdr:nvSpPr>
        <xdr:cNvPr id="30" name="TextBox 29">
          <a:extLst>
            <a:ext uri="{FF2B5EF4-FFF2-40B4-BE49-F238E27FC236}">
              <a16:creationId xmlns:a16="http://schemas.microsoft.com/office/drawing/2014/main" id="{B8E9B22A-4391-4719-940E-A08988213827}"/>
            </a:ext>
          </a:extLst>
        </xdr:cNvPr>
        <xdr:cNvSpPr txBox="1"/>
      </xdr:nvSpPr>
      <xdr:spPr>
        <a:xfrm>
          <a:off x="5095395" y="1136073"/>
          <a:ext cx="1017924" cy="3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ysClr val="windowText" lastClr="000000"/>
              </a:solidFill>
              <a:latin typeface="Calibri" panose="020F0502020204030204" pitchFamily="34" charset="0"/>
              <a:ea typeface="+mn-ea"/>
              <a:cs typeface="Calibri" panose="020F0502020204030204" pitchFamily="34" charset="0"/>
            </a:rPr>
            <a:t>Profit Margin</a:t>
          </a:r>
          <a:endParaRPr lang="en-LC" sz="1200" b="0">
            <a:solidFill>
              <a:sysClr val="windowText" lastClr="000000"/>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173178</xdr:colOff>
      <xdr:row>10</xdr:row>
      <xdr:rowOff>29444</xdr:rowOff>
    </xdr:from>
    <xdr:to>
      <xdr:col>9</xdr:col>
      <xdr:colOff>572877</xdr:colOff>
      <xdr:row>12</xdr:row>
      <xdr:rowOff>166835</xdr:rowOff>
    </xdr:to>
    <xdr:sp macro="" textlink="'Pivot Tables'!F16">
      <xdr:nvSpPr>
        <xdr:cNvPr id="17" name="TextBox 16">
          <a:extLst>
            <a:ext uri="{FF2B5EF4-FFF2-40B4-BE49-F238E27FC236}">
              <a16:creationId xmlns:a16="http://schemas.microsoft.com/office/drawing/2014/main" id="{3AAA1D12-31D0-4C51-B9F4-FAD9C928F189}"/>
            </a:ext>
          </a:extLst>
        </xdr:cNvPr>
        <xdr:cNvSpPr txBox="1"/>
      </xdr:nvSpPr>
      <xdr:spPr>
        <a:xfrm>
          <a:off x="5083845" y="1828611"/>
          <a:ext cx="1013532" cy="4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0F6D84-D94E-488A-A9C2-4A8DD05FF489}"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↓0.02% YoY</a:t>
          </a:fld>
          <a:endParaRPr lang="en-LC" sz="1200" b="0">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2</xdr:col>
      <xdr:colOff>544938</xdr:colOff>
      <xdr:row>10</xdr:row>
      <xdr:rowOff>29444</xdr:rowOff>
    </xdr:from>
    <xdr:to>
      <xdr:col>4</xdr:col>
      <xdr:colOff>365120</xdr:colOff>
      <xdr:row>12</xdr:row>
      <xdr:rowOff>166835</xdr:rowOff>
    </xdr:to>
    <xdr:sp macro="" textlink="'Pivot Tables'!F13">
      <xdr:nvSpPr>
        <xdr:cNvPr id="18" name="TextBox 17">
          <a:extLst>
            <a:ext uri="{FF2B5EF4-FFF2-40B4-BE49-F238E27FC236}">
              <a16:creationId xmlns:a16="http://schemas.microsoft.com/office/drawing/2014/main" id="{ED97E0CD-D615-44EF-B83C-0F569B660849}"/>
            </a:ext>
          </a:extLst>
        </xdr:cNvPr>
        <xdr:cNvSpPr txBox="1"/>
      </xdr:nvSpPr>
      <xdr:spPr>
        <a:xfrm>
          <a:off x="1772605" y="1828611"/>
          <a:ext cx="1047848" cy="4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C06E7C-A0CE-4F68-8936-A5A62E22A102}"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‎‎↑294.23% YoY</a:t>
          </a:fld>
          <a:endParaRPr lang="en-LC" sz="1200" b="0">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421018</xdr:colOff>
      <xdr:row>10</xdr:row>
      <xdr:rowOff>29444</xdr:rowOff>
    </xdr:from>
    <xdr:to>
      <xdr:col>6</xdr:col>
      <xdr:colOff>241199</xdr:colOff>
      <xdr:row>12</xdr:row>
      <xdr:rowOff>166835</xdr:rowOff>
    </xdr:to>
    <xdr:sp macro="" textlink="'Pivot Tables'!F14">
      <xdr:nvSpPr>
        <xdr:cNvPr id="31" name="TextBox 30">
          <a:extLst>
            <a:ext uri="{FF2B5EF4-FFF2-40B4-BE49-F238E27FC236}">
              <a16:creationId xmlns:a16="http://schemas.microsoft.com/office/drawing/2014/main" id="{F41E63B7-14C0-48E2-8118-13FD05FCDB31}"/>
            </a:ext>
          </a:extLst>
        </xdr:cNvPr>
        <xdr:cNvSpPr txBox="1"/>
      </xdr:nvSpPr>
      <xdr:spPr>
        <a:xfrm>
          <a:off x="2876351" y="1828611"/>
          <a:ext cx="1047848" cy="4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B0F59E-CEDE-4E04-95C4-DAF6C98600CD}"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‎‎↑336.14% YoY</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297097</xdr:colOff>
      <xdr:row>10</xdr:row>
      <xdr:rowOff>29444</xdr:rowOff>
    </xdr:from>
    <xdr:to>
      <xdr:col>8</xdr:col>
      <xdr:colOff>117279</xdr:colOff>
      <xdr:row>12</xdr:row>
      <xdr:rowOff>166835</xdr:rowOff>
    </xdr:to>
    <xdr:sp macro="" textlink="'Pivot Tables'!F15">
      <xdr:nvSpPr>
        <xdr:cNvPr id="32" name="TextBox 31">
          <a:extLst>
            <a:ext uri="{FF2B5EF4-FFF2-40B4-BE49-F238E27FC236}">
              <a16:creationId xmlns:a16="http://schemas.microsoft.com/office/drawing/2014/main" id="{3A147156-BA98-4C37-A0F7-9217EB337C57}"/>
            </a:ext>
          </a:extLst>
        </xdr:cNvPr>
        <xdr:cNvSpPr txBox="1"/>
      </xdr:nvSpPr>
      <xdr:spPr>
        <a:xfrm>
          <a:off x="3980097" y="1828611"/>
          <a:ext cx="1047849" cy="4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5CFC00-9613-46E0-AAD3-31A6216D3350}"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‎‎↑294.17% YoY</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369455</xdr:colOff>
      <xdr:row>7</xdr:row>
      <xdr:rowOff>57728</xdr:rowOff>
    </xdr:from>
    <xdr:to>
      <xdr:col>21</xdr:col>
      <xdr:colOff>242455</xdr:colOff>
      <xdr:row>19</xdr:row>
      <xdr:rowOff>1</xdr:rowOff>
    </xdr:to>
    <xdr:graphicFrame macro="">
      <xdr:nvGraphicFramePr>
        <xdr:cNvPr id="33" name="Chart 32">
          <a:extLst>
            <a:ext uri="{FF2B5EF4-FFF2-40B4-BE49-F238E27FC236}">
              <a16:creationId xmlns:a16="http://schemas.microsoft.com/office/drawing/2014/main" id="{85E510CE-1952-4032-8B64-6E86428AA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513773</xdr:colOff>
      <xdr:row>7</xdr:row>
      <xdr:rowOff>88519</xdr:rowOff>
    </xdr:from>
    <xdr:to>
      <xdr:col>27</xdr:col>
      <xdr:colOff>147494</xdr:colOff>
      <xdr:row>19</xdr:row>
      <xdr:rowOff>34637</xdr:rowOff>
    </xdr:to>
    <xdr:graphicFrame macro="">
      <xdr:nvGraphicFramePr>
        <xdr:cNvPr id="34" name="Chart 33">
          <a:extLst>
            <a:ext uri="{FF2B5EF4-FFF2-40B4-BE49-F238E27FC236}">
              <a16:creationId xmlns:a16="http://schemas.microsoft.com/office/drawing/2014/main" id="{01F8CE34-942E-4F41-B73F-F212D5204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547703</xdr:colOff>
      <xdr:row>16</xdr:row>
      <xdr:rowOff>53753</xdr:rowOff>
    </xdr:from>
    <xdr:to>
      <xdr:col>9</xdr:col>
      <xdr:colOff>544286</xdr:colOff>
      <xdr:row>26</xdr:row>
      <xdr:rowOff>18143</xdr:rowOff>
    </xdr:to>
    <xdr:graphicFrame macro="">
      <xdr:nvGraphicFramePr>
        <xdr:cNvPr id="5" name="Chart 4">
          <a:extLst>
            <a:ext uri="{FF2B5EF4-FFF2-40B4-BE49-F238E27FC236}">
              <a16:creationId xmlns:a16="http://schemas.microsoft.com/office/drawing/2014/main" id="{0BAA732A-CEE6-49A6-A44A-17C1052B9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298787</xdr:colOff>
      <xdr:row>18</xdr:row>
      <xdr:rowOff>16636</xdr:rowOff>
    </xdr:from>
    <xdr:to>
      <xdr:col>7</xdr:col>
      <xdr:colOff>7121</xdr:colOff>
      <xdr:row>23</xdr:row>
      <xdr:rowOff>53053</xdr:rowOff>
    </xdr:to>
    <xdr:sp macro="" textlink="">
      <xdr:nvSpPr>
        <xdr:cNvPr id="15" name="Flowchart: Connector 14">
          <a:extLst>
            <a:ext uri="{FF2B5EF4-FFF2-40B4-BE49-F238E27FC236}">
              <a16:creationId xmlns:a16="http://schemas.microsoft.com/office/drawing/2014/main" id="{4D5A6AF4-BDF8-F842-4A1B-AB45FCE5BCE9}"/>
            </a:ext>
          </a:extLst>
        </xdr:cNvPr>
        <xdr:cNvSpPr/>
      </xdr:nvSpPr>
      <xdr:spPr>
        <a:xfrm>
          <a:off x="3367954" y="3255136"/>
          <a:ext cx="936000" cy="936000"/>
        </a:xfrm>
        <a:prstGeom prst="flowChartConnector">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LC" sz="1100"/>
        </a:p>
      </xdr:txBody>
    </xdr:sp>
    <xdr:clientData/>
  </xdr:twoCellAnchor>
  <xdr:twoCellAnchor>
    <xdr:from>
      <xdr:col>5</xdr:col>
      <xdr:colOff>293234</xdr:colOff>
      <xdr:row>19</xdr:row>
      <xdr:rowOff>43541</xdr:rowOff>
    </xdr:from>
    <xdr:to>
      <xdr:col>7</xdr:col>
      <xdr:colOff>61054</xdr:colOff>
      <xdr:row>22</xdr:row>
      <xdr:rowOff>39753</xdr:rowOff>
    </xdr:to>
    <xdr:sp macro="" textlink="sales">
      <xdr:nvSpPr>
        <xdr:cNvPr id="16" name="TextBox 15">
          <a:extLst>
            <a:ext uri="{FF2B5EF4-FFF2-40B4-BE49-F238E27FC236}">
              <a16:creationId xmlns:a16="http://schemas.microsoft.com/office/drawing/2014/main" id="{319033A3-3EA9-4FA1-B199-CFF8D49AEF64}"/>
            </a:ext>
          </a:extLst>
        </xdr:cNvPr>
        <xdr:cNvSpPr txBox="1"/>
      </xdr:nvSpPr>
      <xdr:spPr>
        <a:xfrm>
          <a:off x="3362401" y="3461958"/>
          <a:ext cx="995486" cy="53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2"/>
              </a:solidFill>
              <a:latin typeface="Calibri" panose="020F0502020204030204" pitchFamily="34" charset="0"/>
              <a:ea typeface="+mn-ea"/>
              <a:cs typeface="Calibri" panose="020F0502020204030204" pitchFamily="34" charset="0"/>
            </a:rPr>
            <a:t>Sales Method</a:t>
          </a:r>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467776</xdr:colOff>
      <xdr:row>19</xdr:row>
      <xdr:rowOff>102360</xdr:rowOff>
    </xdr:from>
    <xdr:to>
      <xdr:col>24</xdr:col>
      <xdr:colOff>4225</xdr:colOff>
      <xdr:row>21</xdr:row>
      <xdr:rowOff>10281</xdr:rowOff>
    </xdr:to>
    <xdr:sp macro="" textlink="">
      <xdr:nvSpPr>
        <xdr:cNvPr id="36" name="Rectangle 35">
          <a:extLst>
            <a:ext uri="{FF2B5EF4-FFF2-40B4-BE49-F238E27FC236}">
              <a16:creationId xmlns:a16="http://schemas.microsoft.com/office/drawing/2014/main" id="{0EE59BB4-2B52-4BA7-B1FD-75EF48E2FCAD}"/>
            </a:ext>
          </a:extLst>
        </xdr:cNvPr>
        <xdr:cNvSpPr/>
      </xdr:nvSpPr>
      <xdr:spPr>
        <a:xfrm>
          <a:off x="13358276" y="3520777"/>
          <a:ext cx="1377949" cy="2677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solidFill>
                <a:srgbClr val="385F7C"/>
              </a:solidFill>
              <a:latin typeface="Calibri" panose="020F0502020204030204" pitchFamily="34" charset="0"/>
              <a:cs typeface="Calibri" panose="020F0502020204030204" pitchFamily="34" charset="0"/>
            </a:rPr>
            <a:t>Sales by Product</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2</xdr:col>
      <xdr:colOff>485779</xdr:colOff>
      <xdr:row>28</xdr:row>
      <xdr:rowOff>99781</xdr:rowOff>
    </xdr:from>
    <xdr:to>
      <xdr:col>10</xdr:col>
      <xdr:colOff>123493</xdr:colOff>
      <xdr:row>36</xdr:row>
      <xdr:rowOff>124352</xdr:rowOff>
    </xdr:to>
    <xdr:graphicFrame macro="">
      <xdr:nvGraphicFramePr>
        <xdr:cNvPr id="37" name="Chart 36">
          <a:extLst>
            <a:ext uri="{FF2B5EF4-FFF2-40B4-BE49-F238E27FC236}">
              <a16:creationId xmlns:a16="http://schemas.microsoft.com/office/drawing/2014/main" id="{6CD23DE7-5A4D-4EE9-976E-00F7A24BE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464842</xdr:colOff>
      <xdr:row>26</xdr:row>
      <xdr:rowOff>86591</xdr:rowOff>
    </xdr:from>
    <xdr:to>
      <xdr:col>5</xdr:col>
      <xdr:colOff>210845</xdr:colOff>
      <xdr:row>28</xdr:row>
      <xdr:rowOff>18283</xdr:rowOff>
    </xdr:to>
    <xdr:sp macro="" textlink="">
      <xdr:nvSpPr>
        <xdr:cNvPr id="39" name="Rectangle 38">
          <a:extLst>
            <a:ext uri="{FF2B5EF4-FFF2-40B4-BE49-F238E27FC236}">
              <a16:creationId xmlns:a16="http://schemas.microsoft.com/office/drawing/2014/main" id="{F3D4D567-81DC-46ED-84F7-17B5A64AB18D}"/>
            </a:ext>
          </a:extLst>
        </xdr:cNvPr>
        <xdr:cNvSpPr/>
      </xdr:nvSpPr>
      <xdr:spPr>
        <a:xfrm>
          <a:off x="1692509" y="4764424"/>
          <a:ext cx="1587503" cy="2915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rgbClr val="385F7C"/>
              </a:solidFill>
              <a:latin typeface="Calibri" panose="020F0502020204030204" pitchFamily="34" charset="0"/>
              <a:cs typeface="Calibri" panose="020F0502020204030204" pitchFamily="34" charset="0"/>
            </a:rPr>
            <a:t>Sales by Region</a:t>
          </a:r>
          <a:endParaRPr lang="en-LC" sz="1200">
            <a:solidFill>
              <a:srgbClr val="385F7C"/>
            </a:solidFill>
            <a:latin typeface="Calibri" panose="020F0502020204030204" pitchFamily="34" charset="0"/>
            <a:cs typeface="Calibri" panose="020F0502020204030204" pitchFamily="34" charset="0"/>
          </a:endParaRPr>
        </a:p>
      </xdr:txBody>
    </xdr:sp>
    <xdr:clientData/>
  </xdr:twoCellAnchor>
  <xdr:twoCellAnchor>
    <xdr:from>
      <xdr:col>21</xdr:col>
      <xdr:colOff>531091</xdr:colOff>
      <xdr:row>21</xdr:row>
      <xdr:rowOff>31606</xdr:rowOff>
    </xdr:from>
    <xdr:to>
      <xdr:col>27</xdr:col>
      <xdr:colOff>90715</xdr:colOff>
      <xdr:row>36</xdr:row>
      <xdr:rowOff>54428</xdr:rowOff>
    </xdr:to>
    <xdr:graphicFrame macro="">
      <xdr:nvGraphicFramePr>
        <xdr:cNvPr id="40" name="Chart 39">
          <a:extLst>
            <a:ext uri="{FF2B5EF4-FFF2-40B4-BE49-F238E27FC236}">
              <a16:creationId xmlns:a16="http://schemas.microsoft.com/office/drawing/2014/main" id="{B667E990-3DAB-4CE4-905E-98F218CAB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299362</xdr:colOff>
      <xdr:row>21</xdr:row>
      <xdr:rowOff>132610</xdr:rowOff>
    </xdr:from>
    <xdr:to>
      <xdr:col>21</xdr:col>
      <xdr:colOff>307912</xdr:colOff>
      <xdr:row>22</xdr:row>
      <xdr:rowOff>131181</xdr:rowOff>
    </xdr:to>
    <xdr:grpSp>
      <xdr:nvGrpSpPr>
        <xdr:cNvPr id="47" name="Group 46">
          <a:extLst>
            <a:ext uri="{FF2B5EF4-FFF2-40B4-BE49-F238E27FC236}">
              <a16:creationId xmlns:a16="http://schemas.microsoft.com/office/drawing/2014/main" id="{C8EBACF7-904A-F6D8-E5F2-DB498B271C6A}"/>
            </a:ext>
          </a:extLst>
        </xdr:cNvPr>
        <xdr:cNvGrpSpPr/>
      </xdr:nvGrpSpPr>
      <xdr:grpSpPr>
        <a:xfrm>
          <a:off x="6437695" y="3910860"/>
          <a:ext cx="6760717" cy="178488"/>
          <a:chOff x="6377219" y="3942610"/>
          <a:chExt cx="6694193" cy="353404"/>
        </a:xfrm>
      </xdr:grpSpPr>
      <xdr:sp macro="" textlink="sales">
        <xdr:nvSpPr>
          <xdr:cNvPr id="41" name="TextBox 40">
            <a:extLst>
              <a:ext uri="{FF2B5EF4-FFF2-40B4-BE49-F238E27FC236}">
                <a16:creationId xmlns:a16="http://schemas.microsoft.com/office/drawing/2014/main" id="{37D0FBE6-F3E9-4650-857B-7650AC12FF54}"/>
              </a:ext>
            </a:extLst>
          </xdr:cNvPr>
          <xdr:cNvSpPr txBox="1"/>
        </xdr:nvSpPr>
        <xdr:spPr>
          <a:xfrm>
            <a:off x="6377219" y="3942610"/>
            <a:ext cx="1011876"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Region</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sp macro="" textlink="sales">
        <xdr:nvSpPr>
          <xdr:cNvPr id="42" name="TextBox 41">
            <a:extLst>
              <a:ext uri="{FF2B5EF4-FFF2-40B4-BE49-F238E27FC236}">
                <a16:creationId xmlns:a16="http://schemas.microsoft.com/office/drawing/2014/main" id="{35E2515C-DEA7-48F2-B306-431AE49ECF92}"/>
              </a:ext>
            </a:extLst>
          </xdr:cNvPr>
          <xdr:cNvSpPr txBox="1"/>
        </xdr:nvSpPr>
        <xdr:spPr>
          <a:xfrm>
            <a:off x="7457633" y="3942610"/>
            <a:ext cx="1260000"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2020</a:t>
            </a:r>
            <a:r>
              <a:rPr lang="en-US" sz="1200" b="0" i="0" u="sng" strike="noStrike" baseline="0">
                <a:solidFill>
                  <a:schemeClr val="tx2"/>
                </a:solidFill>
                <a:latin typeface="Calibri" panose="020F0502020204030204" pitchFamily="34" charset="0"/>
                <a:ea typeface="+mn-ea"/>
                <a:cs typeface="Calibri" panose="020F0502020204030204" pitchFamily="34" charset="0"/>
              </a:rPr>
              <a:t> Benchmark</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sp macro="" textlink="sales">
        <xdr:nvSpPr>
          <xdr:cNvPr id="43" name="TextBox 42">
            <a:extLst>
              <a:ext uri="{FF2B5EF4-FFF2-40B4-BE49-F238E27FC236}">
                <a16:creationId xmlns:a16="http://schemas.microsoft.com/office/drawing/2014/main" id="{DF4EDC09-F9B9-4ADC-910C-E8473D4B3408}"/>
              </a:ext>
            </a:extLst>
          </xdr:cNvPr>
          <xdr:cNvSpPr txBox="1"/>
        </xdr:nvSpPr>
        <xdr:spPr>
          <a:xfrm>
            <a:off x="8786171" y="3942610"/>
            <a:ext cx="1011876"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Sales</a:t>
            </a:r>
            <a:r>
              <a:rPr lang="en-US" sz="1200" b="0" i="0" u="sng" strike="noStrike" baseline="0">
                <a:solidFill>
                  <a:schemeClr val="tx2"/>
                </a:solidFill>
                <a:latin typeface="Calibri" panose="020F0502020204030204" pitchFamily="34" charset="0"/>
                <a:ea typeface="+mn-ea"/>
                <a:cs typeface="Calibri" panose="020F0502020204030204" pitchFamily="34" charset="0"/>
              </a:rPr>
              <a:t> 2021</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sp macro="" textlink="sales">
        <xdr:nvSpPr>
          <xdr:cNvPr id="44" name="TextBox 43">
            <a:extLst>
              <a:ext uri="{FF2B5EF4-FFF2-40B4-BE49-F238E27FC236}">
                <a16:creationId xmlns:a16="http://schemas.microsoft.com/office/drawing/2014/main" id="{95B09C5F-B7F6-48AE-BEE5-25C3EEDCB589}"/>
              </a:ext>
            </a:extLst>
          </xdr:cNvPr>
          <xdr:cNvSpPr txBox="1"/>
        </xdr:nvSpPr>
        <xdr:spPr>
          <a:xfrm>
            <a:off x="9866585" y="3942610"/>
            <a:ext cx="1011876"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Variance</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sp macro="" textlink="sales">
        <xdr:nvSpPr>
          <xdr:cNvPr id="45" name="TextBox 44">
            <a:extLst>
              <a:ext uri="{FF2B5EF4-FFF2-40B4-BE49-F238E27FC236}">
                <a16:creationId xmlns:a16="http://schemas.microsoft.com/office/drawing/2014/main" id="{DBC43D6F-6162-449F-A813-32DE665FBC6D}"/>
              </a:ext>
            </a:extLst>
          </xdr:cNvPr>
          <xdr:cNvSpPr txBox="1"/>
        </xdr:nvSpPr>
        <xdr:spPr>
          <a:xfrm>
            <a:off x="10946999" y="3942610"/>
            <a:ext cx="1044000"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a:t>
            </a:r>
            <a:r>
              <a:rPr lang="en-US" sz="1200" b="0" i="0" u="sng" strike="noStrike" baseline="0">
                <a:solidFill>
                  <a:schemeClr val="tx2"/>
                </a:solidFill>
                <a:latin typeface="Calibri" panose="020F0502020204030204" pitchFamily="34" charset="0"/>
                <a:ea typeface="+mn-ea"/>
                <a:cs typeface="Calibri" panose="020F0502020204030204" pitchFamily="34" charset="0"/>
              </a:rPr>
              <a:t> Benchmark</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sp macro="" textlink="sales">
        <xdr:nvSpPr>
          <xdr:cNvPr id="46" name="TextBox 45">
            <a:extLst>
              <a:ext uri="{FF2B5EF4-FFF2-40B4-BE49-F238E27FC236}">
                <a16:creationId xmlns:a16="http://schemas.microsoft.com/office/drawing/2014/main" id="{758A29A1-E4EF-4062-BC09-6216337EE874}"/>
              </a:ext>
            </a:extLst>
          </xdr:cNvPr>
          <xdr:cNvSpPr txBox="1"/>
        </xdr:nvSpPr>
        <xdr:spPr>
          <a:xfrm>
            <a:off x="12059536" y="3942610"/>
            <a:ext cx="1011876" cy="35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sng" strike="noStrike">
                <a:solidFill>
                  <a:schemeClr val="tx2"/>
                </a:solidFill>
                <a:latin typeface="Calibri" panose="020F0502020204030204" pitchFamily="34" charset="0"/>
                <a:ea typeface="+mn-ea"/>
                <a:cs typeface="Calibri" panose="020F0502020204030204" pitchFamily="34" charset="0"/>
              </a:rPr>
              <a:t>Status</a:t>
            </a:r>
            <a:endParaRPr lang="en-LC" sz="1200" b="0" i="0" u="sng" strike="noStrike">
              <a:solidFill>
                <a:schemeClr val="tx2"/>
              </a:solidFill>
              <a:latin typeface="Calibri" panose="020F0502020204030204" pitchFamily="34" charset="0"/>
              <a:ea typeface="+mn-ea"/>
              <a:cs typeface="Calibri" panose="020F0502020204030204" pitchFamily="34" charset="0"/>
            </a:endParaRPr>
          </a:p>
        </xdr:txBody>
      </xdr:sp>
    </xdr:grpSp>
    <xdr:clientData/>
  </xdr:twoCellAnchor>
  <xdr:twoCellAnchor>
    <xdr:from>
      <xdr:col>10</xdr:col>
      <xdr:colOff>391898</xdr:colOff>
      <xdr:row>22</xdr:row>
      <xdr:rowOff>148763</xdr:rowOff>
    </xdr:from>
    <xdr:to>
      <xdr:col>12</xdr:col>
      <xdr:colOff>188202</xdr:colOff>
      <xdr:row>24</xdr:row>
      <xdr:rowOff>139310</xdr:rowOff>
    </xdr:to>
    <xdr:sp macro="" textlink="'Pivot Tables'!N2">
      <xdr:nvSpPr>
        <xdr:cNvPr id="48" name="TextBox 47">
          <a:extLst>
            <a:ext uri="{FF2B5EF4-FFF2-40B4-BE49-F238E27FC236}">
              <a16:creationId xmlns:a16="http://schemas.microsoft.com/office/drawing/2014/main" id="{7028E48D-CB71-49D4-90C8-1982B4A3CD1A}"/>
            </a:ext>
          </a:extLst>
        </xdr:cNvPr>
        <xdr:cNvSpPr txBox="1"/>
      </xdr:nvSpPr>
      <xdr:spPr>
        <a:xfrm>
          <a:off x="6530231" y="4106930"/>
          <a:ext cx="1023971"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0C6ED2-DF1F-485A-B2C9-9746416DFDF2}"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Midwest</a:t>
          </a:fld>
          <a:endParaRPr lang="en-LC" sz="12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391898</xdr:colOff>
      <xdr:row>25</xdr:row>
      <xdr:rowOff>98186</xdr:rowOff>
    </xdr:from>
    <xdr:to>
      <xdr:col>12</xdr:col>
      <xdr:colOff>188202</xdr:colOff>
      <xdr:row>27</xdr:row>
      <xdr:rowOff>88733</xdr:rowOff>
    </xdr:to>
    <xdr:sp macro="" textlink="'Pivot Tables'!N3">
      <xdr:nvSpPr>
        <xdr:cNvPr id="49" name="TextBox 48">
          <a:extLst>
            <a:ext uri="{FF2B5EF4-FFF2-40B4-BE49-F238E27FC236}">
              <a16:creationId xmlns:a16="http://schemas.microsoft.com/office/drawing/2014/main" id="{BEC3F0CE-9BEE-44F4-B0AA-DB2F4C2AF019}"/>
            </a:ext>
          </a:extLst>
        </xdr:cNvPr>
        <xdr:cNvSpPr txBox="1"/>
      </xdr:nvSpPr>
      <xdr:spPr>
        <a:xfrm>
          <a:off x="6530231" y="4596103"/>
          <a:ext cx="1023971"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891A8B-A4BB-47CA-80B1-0B15B59B8E99}"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Northeast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391898</xdr:colOff>
      <xdr:row>28</xdr:row>
      <xdr:rowOff>47608</xdr:rowOff>
    </xdr:from>
    <xdr:to>
      <xdr:col>12</xdr:col>
      <xdr:colOff>188202</xdr:colOff>
      <xdr:row>30</xdr:row>
      <xdr:rowOff>38155</xdr:rowOff>
    </xdr:to>
    <xdr:sp macro="" textlink="'Pivot Tables'!N4">
      <xdr:nvSpPr>
        <xdr:cNvPr id="50" name="TextBox 49">
          <a:extLst>
            <a:ext uri="{FF2B5EF4-FFF2-40B4-BE49-F238E27FC236}">
              <a16:creationId xmlns:a16="http://schemas.microsoft.com/office/drawing/2014/main" id="{1D57B4CC-71FE-492A-9A0B-C91332D18B29}"/>
            </a:ext>
          </a:extLst>
        </xdr:cNvPr>
        <xdr:cNvSpPr txBox="1"/>
      </xdr:nvSpPr>
      <xdr:spPr>
        <a:xfrm>
          <a:off x="6530231" y="5085275"/>
          <a:ext cx="1023971"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A0530C-2D49-4360-8684-B3C594E256BF}"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South</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391898</xdr:colOff>
      <xdr:row>30</xdr:row>
      <xdr:rowOff>178459</xdr:rowOff>
    </xdr:from>
    <xdr:to>
      <xdr:col>12</xdr:col>
      <xdr:colOff>188202</xdr:colOff>
      <xdr:row>32</xdr:row>
      <xdr:rowOff>169006</xdr:rowOff>
    </xdr:to>
    <xdr:sp macro="" textlink="'Pivot Tables'!N5">
      <xdr:nvSpPr>
        <xdr:cNvPr id="51" name="TextBox 50">
          <a:extLst>
            <a:ext uri="{FF2B5EF4-FFF2-40B4-BE49-F238E27FC236}">
              <a16:creationId xmlns:a16="http://schemas.microsoft.com/office/drawing/2014/main" id="{9497C48A-BD53-4C8D-87C3-A896BBDD6046}"/>
            </a:ext>
          </a:extLst>
        </xdr:cNvPr>
        <xdr:cNvSpPr txBox="1"/>
      </xdr:nvSpPr>
      <xdr:spPr>
        <a:xfrm>
          <a:off x="6530231" y="5575959"/>
          <a:ext cx="1023971"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8A1EDB-B0ED-4891-ADA7-CFEBC69BD343}"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Southeast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391898</xdr:colOff>
      <xdr:row>33</xdr:row>
      <xdr:rowOff>127881</xdr:rowOff>
    </xdr:from>
    <xdr:to>
      <xdr:col>12</xdr:col>
      <xdr:colOff>188202</xdr:colOff>
      <xdr:row>35</xdr:row>
      <xdr:rowOff>118428</xdr:rowOff>
    </xdr:to>
    <xdr:sp macro="" textlink="'Pivot Tables'!N6">
      <xdr:nvSpPr>
        <xdr:cNvPr id="52" name="TextBox 51">
          <a:extLst>
            <a:ext uri="{FF2B5EF4-FFF2-40B4-BE49-F238E27FC236}">
              <a16:creationId xmlns:a16="http://schemas.microsoft.com/office/drawing/2014/main" id="{A9470C3B-A130-4C70-9A6C-9A42E69CBA2D}"/>
            </a:ext>
          </a:extLst>
        </xdr:cNvPr>
        <xdr:cNvSpPr txBox="1"/>
      </xdr:nvSpPr>
      <xdr:spPr>
        <a:xfrm>
          <a:off x="6530231" y="6065131"/>
          <a:ext cx="1023971"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292FFB-9DD9-4F4C-A788-A820B5B56AE0}"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West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290667</xdr:colOff>
      <xdr:row>22</xdr:row>
      <xdr:rowOff>148763</xdr:rowOff>
    </xdr:from>
    <xdr:to>
      <xdr:col>14</xdr:col>
      <xdr:colOff>86972</xdr:colOff>
      <xdr:row>24</xdr:row>
      <xdr:rowOff>139310</xdr:rowOff>
    </xdr:to>
    <xdr:sp macro="" textlink="'Pivot Tables'!O2">
      <xdr:nvSpPr>
        <xdr:cNvPr id="53" name="TextBox 52">
          <a:extLst>
            <a:ext uri="{FF2B5EF4-FFF2-40B4-BE49-F238E27FC236}">
              <a16:creationId xmlns:a16="http://schemas.microsoft.com/office/drawing/2014/main" id="{84BBFF08-3EBF-4B54-86C4-5865A7C6BAC9}"/>
            </a:ext>
          </a:extLst>
        </xdr:cNvPr>
        <xdr:cNvSpPr txBox="1"/>
      </xdr:nvSpPr>
      <xdr:spPr>
        <a:xfrm>
          <a:off x="7656667" y="4106930"/>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2D3A86-88C2-4DE4-839A-621F8A6249A4}"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$7.4M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290667</xdr:colOff>
      <xdr:row>25</xdr:row>
      <xdr:rowOff>98186</xdr:rowOff>
    </xdr:from>
    <xdr:to>
      <xdr:col>14</xdr:col>
      <xdr:colOff>86972</xdr:colOff>
      <xdr:row>27</xdr:row>
      <xdr:rowOff>88733</xdr:rowOff>
    </xdr:to>
    <xdr:sp macro="" textlink="'Pivot Tables'!O3">
      <xdr:nvSpPr>
        <xdr:cNvPr id="58" name="TextBox 57">
          <a:extLst>
            <a:ext uri="{FF2B5EF4-FFF2-40B4-BE49-F238E27FC236}">
              <a16:creationId xmlns:a16="http://schemas.microsoft.com/office/drawing/2014/main" id="{FF494743-A0C4-4566-8D84-F914595C8B59}"/>
            </a:ext>
          </a:extLst>
        </xdr:cNvPr>
        <xdr:cNvSpPr txBox="1"/>
      </xdr:nvSpPr>
      <xdr:spPr>
        <a:xfrm>
          <a:off x="7656667" y="4596103"/>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B4BDCF-EF84-40C1-B86C-A31E246CA6EF}"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$40.7M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290667</xdr:colOff>
      <xdr:row>28</xdr:row>
      <xdr:rowOff>47608</xdr:rowOff>
    </xdr:from>
    <xdr:to>
      <xdr:col>14</xdr:col>
      <xdr:colOff>86972</xdr:colOff>
      <xdr:row>30</xdr:row>
      <xdr:rowOff>38155</xdr:rowOff>
    </xdr:to>
    <xdr:sp macro="" textlink="'Pivot Tables'!O4">
      <xdr:nvSpPr>
        <xdr:cNvPr id="59" name="TextBox 58">
          <a:extLst>
            <a:ext uri="{FF2B5EF4-FFF2-40B4-BE49-F238E27FC236}">
              <a16:creationId xmlns:a16="http://schemas.microsoft.com/office/drawing/2014/main" id="{DDFB5063-D16D-4BC3-9667-ACB4F78DF33B}"/>
            </a:ext>
          </a:extLst>
        </xdr:cNvPr>
        <xdr:cNvSpPr txBox="1"/>
      </xdr:nvSpPr>
      <xdr:spPr>
        <a:xfrm>
          <a:off x="7656667" y="5085275"/>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A2245A-56DB-45C0-B24C-C23EC8278091}"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$25.5M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290667</xdr:colOff>
      <xdr:row>30</xdr:row>
      <xdr:rowOff>178459</xdr:rowOff>
    </xdr:from>
    <xdr:to>
      <xdr:col>14</xdr:col>
      <xdr:colOff>86972</xdr:colOff>
      <xdr:row>32</xdr:row>
      <xdr:rowOff>169006</xdr:rowOff>
    </xdr:to>
    <xdr:sp macro="" textlink="'Pivot Tables'!O5">
      <xdr:nvSpPr>
        <xdr:cNvPr id="60" name="TextBox 59">
          <a:extLst>
            <a:ext uri="{FF2B5EF4-FFF2-40B4-BE49-F238E27FC236}">
              <a16:creationId xmlns:a16="http://schemas.microsoft.com/office/drawing/2014/main" id="{3B66CC68-2361-497E-8CE9-89575DA985D0}"/>
            </a:ext>
          </a:extLst>
        </xdr:cNvPr>
        <xdr:cNvSpPr txBox="1"/>
      </xdr:nvSpPr>
      <xdr:spPr>
        <a:xfrm>
          <a:off x="7656667" y="5575959"/>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889DF0-803F-40EC-9B07-0FBA52243870}"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$31.6M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290667</xdr:colOff>
      <xdr:row>33</xdr:row>
      <xdr:rowOff>127881</xdr:rowOff>
    </xdr:from>
    <xdr:to>
      <xdr:col>14</xdr:col>
      <xdr:colOff>86972</xdr:colOff>
      <xdr:row>35</xdr:row>
      <xdr:rowOff>118428</xdr:rowOff>
    </xdr:to>
    <xdr:sp macro="" textlink="'Pivot Tables'!O6">
      <xdr:nvSpPr>
        <xdr:cNvPr id="61" name="TextBox 60">
          <a:extLst>
            <a:ext uri="{FF2B5EF4-FFF2-40B4-BE49-F238E27FC236}">
              <a16:creationId xmlns:a16="http://schemas.microsoft.com/office/drawing/2014/main" id="{46516D01-9B5A-407D-B827-760EDD53B96C}"/>
            </a:ext>
          </a:extLst>
        </xdr:cNvPr>
        <xdr:cNvSpPr txBox="1"/>
      </xdr:nvSpPr>
      <xdr:spPr>
        <a:xfrm>
          <a:off x="7656667" y="6065131"/>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66822E-4176-423E-8653-227F64AD0EF3}"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$76.9M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189438</xdr:colOff>
      <xdr:row>22</xdr:row>
      <xdr:rowOff>148763</xdr:rowOff>
    </xdr:from>
    <xdr:to>
      <xdr:col>15</xdr:col>
      <xdr:colOff>593528</xdr:colOff>
      <xdr:row>24</xdr:row>
      <xdr:rowOff>139310</xdr:rowOff>
    </xdr:to>
    <xdr:sp macro="" textlink="'Pivot Tables'!P2">
      <xdr:nvSpPr>
        <xdr:cNvPr id="62" name="TextBox 61">
          <a:extLst>
            <a:ext uri="{FF2B5EF4-FFF2-40B4-BE49-F238E27FC236}">
              <a16:creationId xmlns:a16="http://schemas.microsoft.com/office/drawing/2014/main" id="{88FE931B-B39F-44EA-8805-8F51B24DA4CB}"/>
            </a:ext>
          </a:extLst>
        </xdr:cNvPr>
        <xdr:cNvSpPr txBox="1"/>
      </xdr:nvSpPr>
      <xdr:spPr>
        <a:xfrm>
          <a:off x="8783105" y="4106930"/>
          <a:ext cx="1017923"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CCDA8A-EAD0-49AD-8B25-30E007D3C91B}"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$128.4M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189438</xdr:colOff>
      <xdr:row>25</xdr:row>
      <xdr:rowOff>98186</xdr:rowOff>
    </xdr:from>
    <xdr:to>
      <xdr:col>15</xdr:col>
      <xdr:colOff>593528</xdr:colOff>
      <xdr:row>27</xdr:row>
      <xdr:rowOff>88733</xdr:rowOff>
    </xdr:to>
    <xdr:sp macro="" textlink="'Pivot Tables'!P3">
      <xdr:nvSpPr>
        <xdr:cNvPr id="63" name="TextBox 62">
          <a:extLst>
            <a:ext uri="{FF2B5EF4-FFF2-40B4-BE49-F238E27FC236}">
              <a16:creationId xmlns:a16="http://schemas.microsoft.com/office/drawing/2014/main" id="{16A0F7C8-0F19-4A25-8C09-F579A1083368}"/>
            </a:ext>
          </a:extLst>
        </xdr:cNvPr>
        <xdr:cNvSpPr txBox="1"/>
      </xdr:nvSpPr>
      <xdr:spPr>
        <a:xfrm>
          <a:off x="8783105" y="4596103"/>
          <a:ext cx="1017923"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C6B699-AD7D-42A6-9BA7-CA6E5B4F3FFB}"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$145.6M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189438</xdr:colOff>
      <xdr:row>28</xdr:row>
      <xdr:rowOff>47608</xdr:rowOff>
    </xdr:from>
    <xdr:to>
      <xdr:col>15</xdr:col>
      <xdr:colOff>593528</xdr:colOff>
      <xdr:row>30</xdr:row>
      <xdr:rowOff>38155</xdr:rowOff>
    </xdr:to>
    <xdr:sp macro="" textlink="'Pivot Tables'!P4">
      <xdr:nvSpPr>
        <xdr:cNvPr id="64" name="TextBox 63">
          <a:extLst>
            <a:ext uri="{FF2B5EF4-FFF2-40B4-BE49-F238E27FC236}">
              <a16:creationId xmlns:a16="http://schemas.microsoft.com/office/drawing/2014/main" id="{7E62E8B0-3F26-4045-949B-023D49345725}"/>
            </a:ext>
          </a:extLst>
        </xdr:cNvPr>
        <xdr:cNvSpPr txBox="1"/>
      </xdr:nvSpPr>
      <xdr:spPr>
        <a:xfrm>
          <a:off x="8783105" y="5085275"/>
          <a:ext cx="1017923"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B80A12-C005-4678-917B-C05FA2D74003}"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$119.2M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189438</xdr:colOff>
      <xdr:row>30</xdr:row>
      <xdr:rowOff>178459</xdr:rowOff>
    </xdr:from>
    <xdr:to>
      <xdr:col>15</xdr:col>
      <xdr:colOff>593528</xdr:colOff>
      <xdr:row>32</xdr:row>
      <xdr:rowOff>169006</xdr:rowOff>
    </xdr:to>
    <xdr:sp macro="" textlink="'Pivot Tables'!P5">
      <xdr:nvSpPr>
        <xdr:cNvPr id="65" name="TextBox 64">
          <a:extLst>
            <a:ext uri="{FF2B5EF4-FFF2-40B4-BE49-F238E27FC236}">
              <a16:creationId xmlns:a16="http://schemas.microsoft.com/office/drawing/2014/main" id="{B5F3E986-4FF5-44A2-8AA0-E72C543DE723}"/>
            </a:ext>
          </a:extLst>
        </xdr:cNvPr>
        <xdr:cNvSpPr txBox="1"/>
      </xdr:nvSpPr>
      <xdr:spPr>
        <a:xfrm>
          <a:off x="8783105" y="5575959"/>
          <a:ext cx="1017923"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E4C3F0-451A-4B4A-8315-07A5BB0F7195}"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$131.6M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189438</xdr:colOff>
      <xdr:row>33</xdr:row>
      <xdr:rowOff>127881</xdr:rowOff>
    </xdr:from>
    <xdr:to>
      <xdr:col>15</xdr:col>
      <xdr:colOff>593528</xdr:colOff>
      <xdr:row>35</xdr:row>
      <xdr:rowOff>118428</xdr:rowOff>
    </xdr:to>
    <xdr:sp macro="" textlink="'Pivot Tables'!P6">
      <xdr:nvSpPr>
        <xdr:cNvPr id="66" name="TextBox 65">
          <a:extLst>
            <a:ext uri="{FF2B5EF4-FFF2-40B4-BE49-F238E27FC236}">
              <a16:creationId xmlns:a16="http://schemas.microsoft.com/office/drawing/2014/main" id="{5CCCD758-BA57-4587-AAFD-F424A82237D4}"/>
            </a:ext>
          </a:extLst>
        </xdr:cNvPr>
        <xdr:cNvSpPr txBox="1"/>
      </xdr:nvSpPr>
      <xdr:spPr>
        <a:xfrm>
          <a:off x="8783105" y="6065131"/>
          <a:ext cx="1017923"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A53440-DCDA-4406-BC71-97086A9891C9}"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$193.0M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88208</xdr:colOff>
      <xdr:row>22</xdr:row>
      <xdr:rowOff>148763</xdr:rowOff>
    </xdr:from>
    <xdr:to>
      <xdr:col>17</xdr:col>
      <xdr:colOff>492298</xdr:colOff>
      <xdr:row>24</xdr:row>
      <xdr:rowOff>139310</xdr:rowOff>
    </xdr:to>
    <xdr:sp macro="" textlink="'Pivot Tables'!Q2">
      <xdr:nvSpPr>
        <xdr:cNvPr id="67" name="TextBox 66">
          <a:extLst>
            <a:ext uri="{FF2B5EF4-FFF2-40B4-BE49-F238E27FC236}">
              <a16:creationId xmlns:a16="http://schemas.microsoft.com/office/drawing/2014/main" id="{540B99F5-1CB9-4519-90A3-CFB266CFC3F4}"/>
            </a:ext>
          </a:extLst>
        </xdr:cNvPr>
        <xdr:cNvSpPr txBox="1"/>
      </xdr:nvSpPr>
      <xdr:spPr>
        <a:xfrm>
          <a:off x="9909541" y="4106930"/>
          <a:ext cx="1017924"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69CB06-D027-4668-82D2-C2E0793EC6AC}"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$121.0M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88208</xdr:colOff>
      <xdr:row>25</xdr:row>
      <xdr:rowOff>98186</xdr:rowOff>
    </xdr:from>
    <xdr:to>
      <xdr:col>17</xdr:col>
      <xdr:colOff>492298</xdr:colOff>
      <xdr:row>27</xdr:row>
      <xdr:rowOff>88733</xdr:rowOff>
    </xdr:to>
    <xdr:sp macro="" textlink="'Pivot Tables'!Q3">
      <xdr:nvSpPr>
        <xdr:cNvPr id="68" name="TextBox 67">
          <a:extLst>
            <a:ext uri="{FF2B5EF4-FFF2-40B4-BE49-F238E27FC236}">
              <a16:creationId xmlns:a16="http://schemas.microsoft.com/office/drawing/2014/main" id="{681F186F-153A-438E-A658-A82C6A31886F}"/>
            </a:ext>
          </a:extLst>
        </xdr:cNvPr>
        <xdr:cNvSpPr txBox="1"/>
      </xdr:nvSpPr>
      <xdr:spPr>
        <a:xfrm>
          <a:off x="9909541" y="4596103"/>
          <a:ext cx="1017924"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1AD00C-DB7E-4F3D-A074-025CF405F754}"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$104.8M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88208</xdr:colOff>
      <xdr:row>28</xdr:row>
      <xdr:rowOff>47608</xdr:rowOff>
    </xdr:from>
    <xdr:to>
      <xdr:col>17</xdr:col>
      <xdr:colOff>492298</xdr:colOff>
      <xdr:row>30</xdr:row>
      <xdr:rowOff>38155</xdr:rowOff>
    </xdr:to>
    <xdr:sp macro="" textlink="'Pivot Tables'!Q4">
      <xdr:nvSpPr>
        <xdr:cNvPr id="69" name="TextBox 68">
          <a:extLst>
            <a:ext uri="{FF2B5EF4-FFF2-40B4-BE49-F238E27FC236}">
              <a16:creationId xmlns:a16="http://schemas.microsoft.com/office/drawing/2014/main" id="{EBEF614A-E4BC-4F70-9291-860AD4725681}"/>
            </a:ext>
          </a:extLst>
        </xdr:cNvPr>
        <xdr:cNvSpPr txBox="1"/>
      </xdr:nvSpPr>
      <xdr:spPr>
        <a:xfrm>
          <a:off x="9909541" y="5085275"/>
          <a:ext cx="1017924"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137F7E-57D2-4196-B510-F5B75963C79A}"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$93.7M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88208</xdr:colOff>
      <xdr:row>30</xdr:row>
      <xdr:rowOff>178459</xdr:rowOff>
    </xdr:from>
    <xdr:to>
      <xdr:col>17</xdr:col>
      <xdr:colOff>492298</xdr:colOff>
      <xdr:row>32</xdr:row>
      <xdr:rowOff>169006</xdr:rowOff>
    </xdr:to>
    <xdr:sp macro="" textlink="'Pivot Tables'!Q5">
      <xdr:nvSpPr>
        <xdr:cNvPr id="70" name="TextBox 69">
          <a:extLst>
            <a:ext uri="{FF2B5EF4-FFF2-40B4-BE49-F238E27FC236}">
              <a16:creationId xmlns:a16="http://schemas.microsoft.com/office/drawing/2014/main" id="{9D675A85-89A5-4A92-BA46-671B87C77FE0}"/>
            </a:ext>
          </a:extLst>
        </xdr:cNvPr>
        <xdr:cNvSpPr txBox="1"/>
      </xdr:nvSpPr>
      <xdr:spPr>
        <a:xfrm>
          <a:off x="9909541" y="5575959"/>
          <a:ext cx="1017924"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02A560-6BC6-44DD-92D0-E1DB1C669DD4}"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$100.0M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88208</xdr:colOff>
      <xdr:row>33</xdr:row>
      <xdr:rowOff>127881</xdr:rowOff>
    </xdr:from>
    <xdr:to>
      <xdr:col>17</xdr:col>
      <xdr:colOff>492298</xdr:colOff>
      <xdr:row>35</xdr:row>
      <xdr:rowOff>118428</xdr:rowOff>
    </xdr:to>
    <xdr:sp macro="" textlink="'Pivot Tables'!Q6">
      <xdr:nvSpPr>
        <xdr:cNvPr id="71" name="TextBox 70">
          <a:extLst>
            <a:ext uri="{FF2B5EF4-FFF2-40B4-BE49-F238E27FC236}">
              <a16:creationId xmlns:a16="http://schemas.microsoft.com/office/drawing/2014/main" id="{49691F7B-34CC-4566-AE5C-96DFB69A353A}"/>
            </a:ext>
          </a:extLst>
        </xdr:cNvPr>
        <xdr:cNvSpPr txBox="1"/>
      </xdr:nvSpPr>
      <xdr:spPr>
        <a:xfrm>
          <a:off x="9909541" y="6065131"/>
          <a:ext cx="1017924"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EF0282-FF04-4A57-A899-DBDFBDB25F3A}"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$116.2M</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594764</xdr:colOff>
      <xdr:row>22</xdr:row>
      <xdr:rowOff>148763</xdr:rowOff>
    </xdr:from>
    <xdr:to>
      <xdr:col>19</xdr:col>
      <xdr:colOff>391068</xdr:colOff>
      <xdr:row>24</xdr:row>
      <xdr:rowOff>139310</xdr:rowOff>
    </xdr:to>
    <xdr:sp macro="" textlink="'Pivot Tables'!R2">
      <xdr:nvSpPr>
        <xdr:cNvPr id="72" name="TextBox 71">
          <a:extLst>
            <a:ext uri="{FF2B5EF4-FFF2-40B4-BE49-F238E27FC236}">
              <a16:creationId xmlns:a16="http://schemas.microsoft.com/office/drawing/2014/main" id="{974DF977-123A-42AD-815A-7EEE27A962FE}"/>
            </a:ext>
          </a:extLst>
        </xdr:cNvPr>
        <xdr:cNvSpPr txBox="1"/>
      </xdr:nvSpPr>
      <xdr:spPr>
        <a:xfrm>
          <a:off x="11029931" y="4106930"/>
          <a:ext cx="1023970"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AC9DE3-94AB-4D35-B803-9412EFF6DE1E}"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1741%</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594764</xdr:colOff>
      <xdr:row>25</xdr:row>
      <xdr:rowOff>98186</xdr:rowOff>
    </xdr:from>
    <xdr:to>
      <xdr:col>19</xdr:col>
      <xdr:colOff>391068</xdr:colOff>
      <xdr:row>27</xdr:row>
      <xdr:rowOff>88733</xdr:rowOff>
    </xdr:to>
    <xdr:sp macro="" textlink="'Pivot Tables'!R3">
      <xdr:nvSpPr>
        <xdr:cNvPr id="73" name="TextBox 72">
          <a:extLst>
            <a:ext uri="{FF2B5EF4-FFF2-40B4-BE49-F238E27FC236}">
              <a16:creationId xmlns:a16="http://schemas.microsoft.com/office/drawing/2014/main" id="{EA7670F9-72F2-4F7D-A335-933887231D51}"/>
            </a:ext>
          </a:extLst>
        </xdr:cNvPr>
        <xdr:cNvSpPr txBox="1"/>
      </xdr:nvSpPr>
      <xdr:spPr>
        <a:xfrm>
          <a:off x="11029931" y="4596103"/>
          <a:ext cx="1023970"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903DC7-0A4A-49E7-B85E-B7AEAB120638}"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357%</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594764</xdr:colOff>
      <xdr:row>28</xdr:row>
      <xdr:rowOff>47608</xdr:rowOff>
    </xdr:from>
    <xdr:to>
      <xdr:col>19</xdr:col>
      <xdr:colOff>391068</xdr:colOff>
      <xdr:row>30</xdr:row>
      <xdr:rowOff>38155</xdr:rowOff>
    </xdr:to>
    <xdr:sp macro="" textlink="'Pivot Tables'!R4">
      <xdr:nvSpPr>
        <xdr:cNvPr id="74" name="TextBox 73">
          <a:extLst>
            <a:ext uri="{FF2B5EF4-FFF2-40B4-BE49-F238E27FC236}">
              <a16:creationId xmlns:a16="http://schemas.microsoft.com/office/drawing/2014/main" id="{6499CA22-C885-4485-8DB3-1A54815A049A}"/>
            </a:ext>
          </a:extLst>
        </xdr:cNvPr>
        <xdr:cNvSpPr txBox="1"/>
      </xdr:nvSpPr>
      <xdr:spPr>
        <a:xfrm>
          <a:off x="11029931" y="5085275"/>
          <a:ext cx="1023970"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555D11-8FD1-4178-AAE1-2C0E47F92EF5}"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468%</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594764</xdr:colOff>
      <xdr:row>30</xdr:row>
      <xdr:rowOff>178459</xdr:rowOff>
    </xdr:from>
    <xdr:to>
      <xdr:col>19</xdr:col>
      <xdr:colOff>391068</xdr:colOff>
      <xdr:row>32</xdr:row>
      <xdr:rowOff>169006</xdr:rowOff>
    </xdr:to>
    <xdr:sp macro="" textlink="'Pivot Tables'!R5">
      <xdr:nvSpPr>
        <xdr:cNvPr id="75" name="TextBox 74">
          <a:extLst>
            <a:ext uri="{FF2B5EF4-FFF2-40B4-BE49-F238E27FC236}">
              <a16:creationId xmlns:a16="http://schemas.microsoft.com/office/drawing/2014/main" id="{4F53D8A5-6BA4-4348-90CA-BD8CD58080D9}"/>
            </a:ext>
          </a:extLst>
        </xdr:cNvPr>
        <xdr:cNvSpPr txBox="1"/>
      </xdr:nvSpPr>
      <xdr:spPr>
        <a:xfrm>
          <a:off x="11029931" y="5575959"/>
          <a:ext cx="1023970"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FAD93A-D124-44D2-8CC4-CD95455232EA}"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416%</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594764</xdr:colOff>
      <xdr:row>33</xdr:row>
      <xdr:rowOff>127881</xdr:rowOff>
    </xdr:from>
    <xdr:to>
      <xdr:col>19</xdr:col>
      <xdr:colOff>391068</xdr:colOff>
      <xdr:row>35</xdr:row>
      <xdr:rowOff>118428</xdr:rowOff>
    </xdr:to>
    <xdr:sp macro="" textlink="'Pivot Tables'!R6">
      <xdr:nvSpPr>
        <xdr:cNvPr id="76" name="TextBox 75">
          <a:extLst>
            <a:ext uri="{FF2B5EF4-FFF2-40B4-BE49-F238E27FC236}">
              <a16:creationId xmlns:a16="http://schemas.microsoft.com/office/drawing/2014/main" id="{BDBDAE96-5BAE-47A6-8EA8-D02FEFDF0C61}"/>
            </a:ext>
          </a:extLst>
        </xdr:cNvPr>
        <xdr:cNvSpPr txBox="1"/>
      </xdr:nvSpPr>
      <xdr:spPr>
        <a:xfrm>
          <a:off x="11029931" y="6065131"/>
          <a:ext cx="1023970"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A35D83-A518-478A-86AE-4FAE47C3D836}"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251%</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493533</xdr:colOff>
      <xdr:row>22</xdr:row>
      <xdr:rowOff>148763</xdr:rowOff>
    </xdr:from>
    <xdr:to>
      <xdr:col>21</xdr:col>
      <xdr:colOff>289838</xdr:colOff>
      <xdr:row>24</xdr:row>
      <xdr:rowOff>139310</xdr:rowOff>
    </xdr:to>
    <xdr:sp macro="" textlink="'Pivot Tables'!S2">
      <xdr:nvSpPr>
        <xdr:cNvPr id="77" name="TextBox 76">
          <a:extLst>
            <a:ext uri="{FF2B5EF4-FFF2-40B4-BE49-F238E27FC236}">
              <a16:creationId xmlns:a16="http://schemas.microsoft.com/office/drawing/2014/main" id="{42ECA645-5D03-4BCA-9501-6265133002C1}"/>
            </a:ext>
          </a:extLst>
        </xdr:cNvPr>
        <xdr:cNvSpPr txBox="1"/>
      </xdr:nvSpPr>
      <xdr:spPr>
        <a:xfrm>
          <a:off x="12156366" y="4106930"/>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62EE71-4023-4D9B-9F09-0C8FE9A0BA52}"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Beat target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493533</xdr:colOff>
      <xdr:row>25</xdr:row>
      <xdr:rowOff>98186</xdr:rowOff>
    </xdr:from>
    <xdr:to>
      <xdr:col>21</xdr:col>
      <xdr:colOff>289838</xdr:colOff>
      <xdr:row>27</xdr:row>
      <xdr:rowOff>88733</xdr:rowOff>
    </xdr:to>
    <xdr:sp macro="" textlink="'Pivot Tables'!S3">
      <xdr:nvSpPr>
        <xdr:cNvPr id="78" name="TextBox 77">
          <a:extLst>
            <a:ext uri="{FF2B5EF4-FFF2-40B4-BE49-F238E27FC236}">
              <a16:creationId xmlns:a16="http://schemas.microsoft.com/office/drawing/2014/main" id="{D49C97E2-A5A7-4722-8A09-7ED53CDE91DE}"/>
            </a:ext>
          </a:extLst>
        </xdr:cNvPr>
        <xdr:cNvSpPr txBox="1"/>
      </xdr:nvSpPr>
      <xdr:spPr>
        <a:xfrm>
          <a:off x="12156366" y="4596103"/>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714188-00B5-492B-8EE4-6CF318AEB57A}"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Beat target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493533</xdr:colOff>
      <xdr:row>28</xdr:row>
      <xdr:rowOff>47608</xdr:rowOff>
    </xdr:from>
    <xdr:to>
      <xdr:col>21</xdr:col>
      <xdr:colOff>289838</xdr:colOff>
      <xdr:row>30</xdr:row>
      <xdr:rowOff>38155</xdr:rowOff>
    </xdr:to>
    <xdr:sp macro="" textlink="'Pivot Tables'!S4">
      <xdr:nvSpPr>
        <xdr:cNvPr id="79" name="TextBox 78">
          <a:extLst>
            <a:ext uri="{FF2B5EF4-FFF2-40B4-BE49-F238E27FC236}">
              <a16:creationId xmlns:a16="http://schemas.microsoft.com/office/drawing/2014/main" id="{7778FF7B-2E89-4173-87FC-45E625A824A5}"/>
            </a:ext>
          </a:extLst>
        </xdr:cNvPr>
        <xdr:cNvSpPr txBox="1"/>
      </xdr:nvSpPr>
      <xdr:spPr>
        <a:xfrm>
          <a:off x="12156366" y="5085275"/>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30E279-6CE1-428C-BBD9-0D8977D04412}"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Beat target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493533</xdr:colOff>
      <xdr:row>30</xdr:row>
      <xdr:rowOff>178459</xdr:rowOff>
    </xdr:from>
    <xdr:to>
      <xdr:col>21</xdr:col>
      <xdr:colOff>289838</xdr:colOff>
      <xdr:row>32</xdr:row>
      <xdr:rowOff>169006</xdr:rowOff>
    </xdr:to>
    <xdr:sp macro="" textlink="'Pivot Tables'!S5">
      <xdr:nvSpPr>
        <xdr:cNvPr id="80" name="TextBox 79">
          <a:extLst>
            <a:ext uri="{FF2B5EF4-FFF2-40B4-BE49-F238E27FC236}">
              <a16:creationId xmlns:a16="http://schemas.microsoft.com/office/drawing/2014/main" id="{630C942D-91A6-458F-99B3-3795BC93E2AC}"/>
            </a:ext>
          </a:extLst>
        </xdr:cNvPr>
        <xdr:cNvSpPr txBox="1"/>
      </xdr:nvSpPr>
      <xdr:spPr>
        <a:xfrm>
          <a:off x="12156366" y="5575959"/>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9C149A-C4B3-411F-B8A2-15E949ACC6A9}"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Beat target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493533</xdr:colOff>
      <xdr:row>33</xdr:row>
      <xdr:rowOff>127881</xdr:rowOff>
    </xdr:from>
    <xdr:to>
      <xdr:col>21</xdr:col>
      <xdr:colOff>289838</xdr:colOff>
      <xdr:row>35</xdr:row>
      <xdr:rowOff>118428</xdr:rowOff>
    </xdr:to>
    <xdr:sp macro="" textlink="'Pivot Tables'!S6">
      <xdr:nvSpPr>
        <xdr:cNvPr id="81" name="TextBox 80">
          <a:extLst>
            <a:ext uri="{FF2B5EF4-FFF2-40B4-BE49-F238E27FC236}">
              <a16:creationId xmlns:a16="http://schemas.microsoft.com/office/drawing/2014/main" id="{EA7A6E1E-B88C-41AA-B0D8-1AC87F1C50FC}"/>
            </a:ext>
          </a:extLst>
        </xdr:cNvPr>
        <xdr:cNvSpPr txBox="1"/>
      </xdr:nvSpPr>
      <xdr:spPr>
        <a:xfrm>
          <a:off x="12156366" y="6065131"/>
          <a:ext cx="1023972" cy="35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EE4058-BFA0-4EAA-BFC9-909104CF4E80}" type="TxLink">
            <a:rPr lang="en-US" sz="1100" b="0" i="0" u="none" strike="noStrike">
              <a:solidFill>
                <a:schemeClr val="tx2"/>
              </a:solidFill>
              <a:latin typeface="Calibri" panose="020F0502020204030204" pitchFamily="34" charset="0"/>
              <a:ea typeface="+mn-ea"/>
              <a:cs typeface="Calibri" panose="020F0502020204030204" pitchFamily="34" charset="0"/>
            </a:rPr>
            <a:pPr marL="0" indent="0" algn="ctr"/>
            <a:t>Beat target</a:t>
          </a:fld>
          <a:endParaRPr lang="en-LC" sz="1100" b="0" i="0" u="none" strike="noStrike">
            <a:solidFill>
              <a:schemeClr val="tx2"/>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564371</xdr:colOff>
      <xdr:row>1</xdr:row>
      <xdr:rowOff>136077</xdr:rowOff>
    </xdr:from>
    <xdr:to>
      <xdr:col>27</xdr:col>
      <xdr:colOff>160088</xdr:colOff>
      <xdr:row>4</xdr:row>
      <xdr:rowOff>172327</xdr:rowOff>
    </xdr:to>
    <mc:AlternateContent xmlns:mc="http://schemas.openxmlformats.org/markup-compatibility/2006">
      <mc:Choice xmlns:a14="http://schemas.microsoft.com/office/drawing/2010/main" Requires="a14">
        <xdr:graphicFrame macro="">
          <xdr:nvGraphicFramePr>
            <xdr:cNvPr id="35" name="Quarter">
              <a:extLst>
                <a:ext uri="{FF2B5EF4-FFF2-40B4-BE49-F238E27FC236}">
                  <a16:creationId xmlns:a16="http://schemas.microsoft.com/office/drawing/2014/main" id="{A7B2A601-BD4C-46A5-8585-5576D440AB6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682538" y="315994"/>
              <a:ext cx="2051050" cy="576000"/>
            </a:xfrm>
            <a:prstGeom prst="rect">
              <a:avLst/>
            </a:prstGeom>
            <a:solidFill>
              <a:prstClr val="white"/>
            </a:solidFill>
            <a:ln w="1">
              <a:solidFill>
                <a:prstClr val="green"/>
              </a:solidFill>
            </a:ln>
          </xdr:spPr>
          <xdr:txBody>
            <a:bodyPr vertOverflow="clip" horzOverflow="clip"/>
            <a:lstStyle/>
            <a:p>
              <a:r>
                <a:rPr lang="en-L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442007</xdr:colOff>
      <xdr:row>3</xdr:row>
      <xdr:rowOff>159520</xdr:rowOff>
    </xdr:from>
    <xdr:to>
      <xdr:col>11</xdr:col>
      <xdr:colOff>461507</xdr:colOff>
      <xdr:row>5</xdr:row>
      <xdr:rowOff>15687</xdr:rowOff>
    </xdr:to>
    <xdr:sp macro="" textlink="sales">
      <xdr:nvSpPr>
        <xdr:cNvPr id="55" name="TextBox 54">
          <a:extLst>
            <a:ext uri="{FF2B5EF4-FFF2-40B4-BE49-F238E27FC236}">
              <a16:creationId xmlns:a16="http://schemas.microsoft.com/office/drawing/2014/main" id="{52FC2880-E4D1-4809-8A4B-6C4790B6CF43}"/>
            </a:ext>
          </a:extLst>
        </xdr:cNvPr>
        <xdr:cNvSpPr txBox="1"/>
      </xdr:nvSpPr>
      <xdr:spPr>
        <a:xfrm>
          <a:off x="1669674" y="699270"/>
          <a:ext cx="5544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0" i="0">
              <a:solidFill>
                <a:schemeClr val="tx2"/>
              </a:solidFill>
              <a:latin typeface="Calibri" panose="020F0502020204030204" pitchFamily="34" charset="0"/>
              <a:cs typeface="Calibri" panose="020F0502020204030204" pitchFamily="34" charset="0"/>
            </a:rPr>
            <a:t>2020 vs 2021 Growth/Scale</a:t>
          </a:r>
          <a:r>
            <a:rPr lang="en-US" sz="1300" b="0" i="0" baseline="0">
              <a:solidFill>
                <a:schemeClr val="tx2"/>
              </a:solidFill>
              <a:latin typeface="Calibri" panose="020F0502020204030204" pitchFamily="34" charset="0"/>
              <a:cs typeface="Calibri" panose="020F0502020204030204" pitchFamily="34" charset="0"/>
            </a:rPr>
            <a:t> Focus</a:t>
          </a:r>
          <a:endParaRPr lang="en-LC" sz="1300" b="0" i="0">
            <a:solidFill>
              <a:schemeClr val="tx2"/>
            </a:solidFill>
            <a:latin typeface="Calibri" panose="020F0502020204030204" pitchFamily="34" charset="0"/>
            <a:cs typeface="Calibri" panose="020F0502020204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76736113" backgroundQuery="1" createdVersion="8" refreshedVersion="8" minRefreshableVersion="3" recordCount="0" supportSubquery="1" supportAdvancedDrill="1" xr:uid="{DD90CD6B-6EC0-4DB9-AAC9-72BFA2BE0251}">
  <cacheSource type="external" connectionId="7"/>
  <cacheFields count="4">
    <cacheField name="[Location table].[Region].[Region]" caption="Region" numFmtId="0" hierarchy="23" level="1">
      <sharedItems count="5">
        <s v="Midwest"/>
        <s v="Northeast"/>
        <s v="South"/>
        <s v="Southeast"/>
        <s v="West"/>
      </sharedItems>
    </cacheField>
    <cacheField name="[Measures].[Total Revenue]" caption="Total Revenue" numFmtId="0" hierarchy="31" level="32767"/>
    <cacheField name="[Calendar].[Month].[Month]" caption="Month" numFmtId="0" hierarchy="4" level="1">
      <sharedItems count="12">
        <s v="Jan"/>
        <s v="Feb"/>
        <s v="Mar"/>
        <s v="Apr"/>
        <s v="May"/>
        <s v="Jun"/>
        <s v="Jul"/>
        <s v="Aug"/>
        <s v="Sep"/>
        <s v="Oct"/>
        <s v="Nov"/>
        <s v="Dec"/>
      </sharedItems>
    </cacheField>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4" unbalanced="0"/>
    <cacheHierarchy uniqueName="[Calendar].[Invoice Date]" caption="Invoice Date" attribute="1" time="1" keyAttribute="1" defaultMemberUniqueName="[Calendar].[Invoice Date].[All]" allUniqueName="[Calendar].[Invoice 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Seasons]" caption="Seasons" attribute="1" time="1" defaultMemberUniqueName="[Calendar].[Seasons].[All]" allUniqueName="[Calendar].[Seasons].[All]" dimensionUniqueName="[Calendar]"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2"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2"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2" memberValueDatatype="5" unbalanced="0"/>
    <cacheHierarchy uniqueName="[Data Sales Adidas].[Units Sold]" caption="Units Sold" attribute="1" defaultMemberUniqueName="[Data Sales Adidas].[Units Sold].[All]" allUniqueName="[Data Sales Adidas].[Units Sold].[All]" dimensionUniqueName="[Data Sales Adidas]" displayFolder="" count="2" memberValueDatatype="20" unbalanced="0"/>
    <cacheHierarchy uniqueName="[Data Sales Adidas].[Total Sales]" caption="Total Sales" attribute="1" defaultMemberUniqueName="[Data Sales Adidas].[Total Sales].[All]" allUniqueName="[Data Sales Adidas].[Total Sales].[All]" dimensionUniqueName="[Data Sales Adidas]" displayFolder="" count="2"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2"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2"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cacheHierarchy uniqueName="[Location table].[State]" caption="State" attribute="1" defaultMemberUniqueName="[Location table].[State].[All]" allUniqueName="[Location table].[State].[All]" dimensionUniqueName="[Location table]" displayFolder="" count="2" memberValueDatatype="130" unbalanced="0"/>
    <cacheHierarchy uniqueName="[Location table].[City]" caption="City" attribute="1" defaultMemberUniqueName="[Location table].[City].[All]" allUniqueName="[Location table].[City].[All]" dimensionUniqueName="[Location table]" displayFolder="" count="2" memberValueDatatype="130" unbalanced="0"/>
    <cacheHierarchy uniqueName="[Location table].[Region]" caption="Region" attribute="1" defaultMemberUniqueName="[Location table].[Region].[All]" allUniqueName="[Location table].[Region].[All]" dimensionUniqueName="[Location table]" displayFolder="" count="2" memberValueDatatype="130" unbalanced="0">
      <fieldsUsage count="2">
        <fieldUsage x="-1"/>
        <fieldUsage x="0"/>
      </fieldsUsage>
    </cacheHierarchy>
    <cacheHierarchy uniqueName="[Product table].[Product]" caption="Product" attribute="1" defaultMemberUniqueName="[Product table].[Product].[All]" allUniqueName="[Product table].[Product].[All]" dimensionUniqueName="[Product table]" displayFolder="" count="2" memberValueDatatype="130" unbalanced="0"/>
    <cacheHierarchy uniqueName="[Retailer table].[Retailer]" caption="Retailer" attribute="1" defaultMemberUniqueName="[Retailer table].[Retailer].[All]" allUniqueName="[Retailer table].[Retailer].[All]" dimensionUniqueName="[Retailer table]" displayFolder="" count="2" memberValueDatatype="130" unbalanced="0"/>
    <cacheHierarchy uniqueName="[Retailer table].[Retailer ID]" caption="Retailer ID" attribute="1" defaultMemberUniqueName="[Retailer table].[Retailer ID].[All]" allUniqueName="[Retailer table].[Retailer ID].[All]" dimensionUniqueName="[Retailer table]" displayFolder="" count="2"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2"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77430552" backgroundQuery="1" createdVersion="8" refreshedVersion="8" minRefreshableVersion="3" recordCount="0" supportSubquery="1" supportAdvancedDrill="1" xr:uid="{EF83ECE7-A15B-4A42-8AAB-EF2C7D72E0CE}">
  <cacheSource type="external" connectionId="7"/>
  <cacheFields count="3">
    <cacheField name="[Retailer table].[Retailer].[Retailer]" caption="Retailer" numFmtId="0" hierarchy="25" level="1">
      <sharedItems count="6">
        <s v="Amazon"/>
        <s v="Foot Locker"/>
        <s v="Kohl's"/>
        <s v="Sports Direct"/>
        <s v="Walmart"/>
        <s v="West Gear"/>
      </sharedItems>
    </cacheField>
    <cacheField name="[Measures].[Total Revenue]" caption="Total Revenue" numFmtId="0" hierarchy="31"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Calendar].[Seasons]" caption="Seasons" attribute="1" time="1" defaultMemberUniqueName="[Calendar].[Seasons].[All]" allUniqueName="[Calendar].[Seasons].[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0" memberValueDatatype="130" unbalanced="0"/>
    <cacheHierarchy uniqueName="[Retailer table].[Retailer]" caption="Retailer" attribute="1" defaultMemberUniqueName="[Retailer table].[Retailer].[All]" allUniqueName="[Retailer table].[Retailer].[All]" dimensionUniqueName="[Retailer table]" displayFolder="" count="2" memberValueDatatype="130" unbalanced="0">
      <fieldsUsage count="2">
        <fieldUsage x="-1"/>
        <fieldUsage x="0"/>
      </fieldsUsage>
    </cacheHierarchy>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0"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78124999" backgroundQuery="1" createdVersion="8" refreshedVersion="8" minRefreshableVersion="3" recordCount="0" supportSubquery="1" supportAdvancedDrill="1" xr:uid="{C537AEF9-B419-48DF-840F-454547BBD4E1}">
  <cacheSource type="external" connectionId="7"/>
  <cacheFields count="4">
    <cacheField name="[Retailer table].[Retailer].[Retailer]" caption="Retailer" numFmtId="0" hierarchy="25" level="1">
      <sharedItems count="6">
        <s v="Amazon"/>
        <s v="Foot Locker"/>
        <s v="Kohl's"/>
        <s v="Sports Direct"/>
        <s v="Walmart"/>
        <s v="West Gear"/>
      </sharedItems>
    </cacheField>
    <cacheField name="[Measures].[Total Revenue]" caption="Total Revenue" numFmtId="0" hierarchy="31" level="32767"/>
    <cacheField name="[Sales method table].[Sales Method].[Sales Method]" caption="Sales Method" numFmtId="0" hierarchy="27" level="1">
      <sharedItems count="3">
        <s v="In-store"/>
        <s v="Online"/>
        <s v="Outlet"/>
      </sharedItems>
    </cacheField>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Seasons]" caption="Seasons" attribute="1" time="1" defaultMemberUniqueName="[Calendar].[Seasons].[All]" allUniqueName="[Calendar].[Seasons].[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0" memberValueDatatype="130" unbalanced="0"/>
    <cacheHierarchy uniqueName="[Retailer table].[Retailer]" caption="Retailer" attribute="1" defaultMemberUniqueName="[Retailer table].[Retailer].[All]" allUniqueName="[Retailer table].[Retailer].[All]" dimensionUniqueName="[Retailer table]" displayFolder="" count="2" memberValueDatatype="130" unbalanced="0">
      <fieldsUsage count="2">
        <fieldUsage x="-1"/>
        <fieldUsage x="0"/>
      </fieldsUsage>
    </cacheHierarchy>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2" memberValueDatatype="130" unbalanced="0">
      <fieldsUsage count="2">
        <fieldUsage x="-1"/>
        <fieldUsage x="2"/>
      </fieldsUsage>
    </cacheHierarchy>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78935184" backgroundQuery="1" createdVersion="8" refreshedVersion="8" minRefreshableVersion="3" recordCount="0" supportSubquery="1" supportAdvancedDrill="1" xr:uid="{5E1DC255-172C-4045-97ED-02F795094D20}">
  <cacheSource type="external" connectionId="7"/>
  <cacheFields count="3">
    <cacheField name="[Location table].[Region].[Region]" caption="Region" numFmtId="0" hierarchy="23" level="1">
      <sharedItems count="5">
        <s v="Midwest"/>
        <s v="Northeast"/>
        <s v="South"/>
        <s v="Southeast"/>
        <s v="West"/>
      </sharedItems>
    </cacheField>
    <cacheField name="[Measures].[Total Revenue]" caption="Total Revenue" numFmtId="0" hierarchy="31"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4" unbalanced="0"/>
    <cacheHierarchy uniqueName="[Calendar].[Invoice Date]" caption="Invoice Date" attribute="1" time="1" keyAttribute="1" defaultMemberUniqueName="[Calendar].[Invoice Date].[All]" allUniqueName="[Calendar].[Invoice 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Calendar].[Seasons]" caption="Seasons" attribute="1" time="1" defaultMemberUniqueName="[Calendar].[Seasons].[All]" allUniqueName="[Calendar].[Seasons].[All]" dimensionUniqueName="[Calendar]"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2"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2"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2" memberValueDatatype="5" unbalanced="0"/>
    <cacheHierarchy uniqueName="[Data Sales Adidas].[Units Sold]" caption="Units Sold" attribute="1" defaultMemberUniqueName="[Data Sales Adidas].[Units Sold].[All]" allUniqueName="[Data Sales Adidas].[Units Sold].[All]" dimensionUniqueName="[Data Sales Adidas]" displayFolder="" count="2" memberValueDatatype="20" unbalanced="0"/>
    <cacheHierarchy uniqueName="[Data Sales Adidas].[Total Sales]" caption="Total Sales" attribute="1" defaultMemberUniqueName="[Data Sales Adidas].[Total Sales].[All]" allUniqueName="[Data Sales Adidas].[Total Sales].[All]" dimensionUniqueName="[Data Sales Adidas]" displayFolder="" count="2"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2"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2"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cacheHierarchy uniqueName="[Location table].[State]" caption="State" attribute="1" defaultMemberUniqueName="[Location table].[State].[All]" allUniqueName="[Location table].[State].[All]" dimensionUniqueName="[Location table]" displayFolder="" count="2" memberValueDatatype="130" unbalanced="0"/>
    <cacheHierarchy uniqueName="[Location table].[City]" caption="City" attribute="1" defaultMemberUniqueName="[Location table].[City].[All]" allUniqueName="[Location table].[City].[All]" dimensionUniqueName="[Location table]" displayFolder="" count="2" memberValueDatatype="130" unbalanced="0"/>
    <cacheHierarchy uniqueName="[Location table].[Region]" caption="Region" attribute="1" defaultMemberUniqueName="[Location table].[Region].[All]" allUniqueName="[Location table].[Region].[All]" dimensionUniqueName="[Location table]" displayFolder="" count="2" memberValueDatatype="130" unbalanced="0">
      <fieldsUsage count="2">
        <fieldUsage x="-1"/>
        <fieldUsage x="0"/>
      </fieldsUsage>
    </cacheHierarchy>
    <cacheHierarchy uniqueName="[Product table].[Product]" caption="Product" attribute="1" defaultMemberUniqueName="[Product table].[Product].[All]" allUniqueName="[Product table].[Product].[All]" dimensionUniqueName="[Product table]" displayFolder="" count="2" memberValueDatatype="130" unbalanced="0"/>
    <cacheHierarchy uniqueName="[Retailer table].[Retailer]" caption="Retailer" attribute="1" defaultMemberUniqueName="[Retailer table].[Retailer].[All]" allUniqueName="[Retailer table].[Retailer].[All]" dimensionUniqueName="[Retailer table]" displayFolder="" count="2" memberValueDatatype="130" unbalanced="0"/>
    <cacheHierarchy uniqueName="[Retailer table].[Retailer ID]" caption="Retailer ID" attribute="1" defaultMemberUniqueName="[Retailer table].[Retailer ID].[All]" allUniqueName="[Retailer table].[Retailer ID].[All]" dimensionUniqueName="[Retailer table]" displayFolder="" count="2"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2"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79861108" backgroundQuery="1" createdVersion="8" refreshedVersion="8" minRefreshableVersion="3" recordCount="0" supportSubquery="1" supportAdvancedDrill="1" xr:uid="{6238BC62-C17E-4B10-87DD-BF71541322E4}">
  <cacheSource type="external" connectionId="7"/>
  <cacheFields count="3">
    <cacheField name="[Product table].[Product].[Product]" caption="Product" numFmtId="0" hierarchy="24" level="1">
      <sharedItems count="6">
        <s v="Men's Apparel"/>
        <s v="Men's Athletic Footwear"/>
        <s v="Men's Street Footwear"/>
        <s v="Women's Apparel"/>
        <s v="Women's Athletic Footwear"/>
        <s v="Women's Street Footwear"/>
      </sharedItems>
    </cacheField>
    <cacheField name="[Measures].[Total Revenue]" caption="Total Revenue" numFmtId="0" hierarchy="31"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Calendar].[Seasons]" caption="Seasons" attribute="1" time="1" defaultMemberUniqueName="[Calendar].[Seasons].[All]" allUniqueName="[Calendar].[Seasons].[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2" memberValueDatatype="130" unbalanced="0">
      <fieldsUsage count="2">
        <fieldUsage x="-1"/>
        <fieldUsage x="0"/>
      </fieldsUsage>
    </cacheHierarchy>
    <cacheHierarchy uniqueName="[Retailer table].[Retailer]" caption="Retailer" attribute="1" defaultMemberUniqueName="[Retailer table].[Retailer].[All]" allUniqueName="[Retailer table].[Retailer].[All]" dimensionUniqueName="[Retailer table]" displayFolder="" count="0" memberValueDatatype="130" unbalanced="0"/>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0"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80324077" backgroundQuery="1" createdVersion="8" refreshedVersion="8" minRefreshableVersion="3" recordCount="0" supportSubquery="1" supportAdvancedDrill="1" xr:uid="{84B589DE-0D60-4DBF-B0A9-51D5982A450F}">
  <cacheSource type="external" connectionId="7"/>
  <cacheFields count="4">
    <cacheField name="[Location table].[Region].[Region]" caption="Region" numFmtId="0" hierarchy="23" level="1">
      <sharedItems count="5">
        <s v="Midwest"/>
        <s v="Northeast"/>
        <s v="South"/>
        <s v="Southeast"/>
        <s v="West"/>
      </sharedItems>
    </cacheField>
    <cacheField name="[Measures].[Sales 2020]" caption="Sales 2020" numFmtId="0" hierarchy="52" level="32767"/>
    <cacheField name="[Measures].[Sales 2021]" caption="Sales 2021" numFmtId="0" hierarchy="53"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4" unbalanced="0"/>
    <cacheHierarchy uniqueName="[Calendar].[Invoice Date]" caption="Invoice Date" attribute="1" time="1" keyAttribute="1" defaultMemberUniqueName="[Calendar].[Invoice Date].[All]" allUniqueName="[Calendar].[Invoice 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Seasons]" caption="Seasons" attribute="1" time="1" defaultMemberUniqueName="[Calendar].[Seasons].[All]" allUniqueName="[Calendar].[Seasons].[All]" dimensionUniqueName="[Calendar]"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2"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2"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2" memberValueDatatype="5" unbalanced="0"/>
    <cacheHierarchy uniqueName="[Data Sales Adidas].[Units Sold]" caption="Units Sold" attribute="1" defaultMemberUniqueName="[Data Sales Adidas].[Units Sold].[All]" allUniqueName="[Data Sales Adidas].[Units Sold].[All]" dimensionUniqueName="[Data Sales Adidas]" displayFolder="" count="2" memberValueDatatype="20" unbalanced="0"/>
    <cacheHierarchy uniqueName="[Data Sales Adidas].[Total Sales]" caption="Total Sales" attribute="1" defaultMemberUniqueName="[Data Sales Adidas].[Total Sales].[All]" allUniqueName="[Data Sales Adidas].[Total Sales].[All]" dimensionUniqueName="[Data Sales Adidas]" displayFolder="" count="2"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2"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2"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cacheHierarchy uniqueName="[Location table].[State]" caption="State" attribute="1" defaultMemberUniqueName="[Location table].[State].[All]" allUniqueName="[Location table].[State].[All]" dimensionUniqueName="[Location table]" displayFolder="" count="2" memberValueDatatype="130" unbalanced="0"/>
    <cacheHierarchy uniqueName="[Location table].[City]" caption="City" attribute="1" defaultMemberUniqueName="[Location table].[City].[All]" allUniqueName="[Location table].[City].[All]" dimensionUniqueName="[Location table]" displayFolder="" count="2" memberValueDatatype="130" unbalanced="0"/>
    <cacheHierarchy uniqueName="[Location table].[Region]" caption="Region" attribute="1" defaultMemberUniqueName="[Location table].[Region].[All]" allUniqueName="[Location table].[Region].[All]" dimensionUniqueName="[Location table]" displayFolder="" count="2" memberValueDatatype="130" unbalanced="0">
      <fieldsUsage count="2">
        <fieldUsage x="-1"/>
        <fieldUsage x="0"/>
      </fieldsUsage>
    </cacheHierarchy>
    <cacheHierarchy uniqueName="[Product table].[Product]" caption="Product" attribute="1" defaultMemberUniqueName="[Product table].[Product].[All]" allUniqueName="[Product table].[Product].[All]" dimensionUniqueName="[Product table]" displayFolder="" count="2" memberValueDatatype="130" unbalanced="0"/>
    <cacheHierarchy uniqueName="[Retailer table].[Retailer]" caption="Retailer" attribute="1" defaultMemberUniqueName="[Retailer table].[Retailer].[All]" allUniqueName="[Retailer table].[Retailer].[All]" dimensionUniqueName="[Retailer table]" displayFolder="" count="2" memberValueDatatype="130" unbalanced="0"/>
    <cacheHierarchy uniqueName="[Retailer table].[Retailer ID]" caption="Retailer ID" attribute="1" defaultMemberUniqueName="[Retailer table].[Retailer ID].[All]" allUniqueName="[Retailer table].[Retailer ID].[All]" dimensionUniqueName="[Retailer table]" displayFolder="" count="2"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2"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oneField="1">
      <fieldsUsage count="1">
        <fieldUsage x="1"/>
      </fieldsUsage>
    </cacheHierarchy>
    <cacheHierarchy uniqueName="[Measures].[Sales 2021]" caption="Sales 2021" measure="1" displayFolder="" measureGroup="Data Sales Adidas" count="0" oneField="1">
      <fieldsUsage count="1">
        <fieldUsage x="2"/>
      </fieldsUsage>
    </cacheHierarchy>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80902777" backgroundQuery="1" createdVersion="8" refreshedVersion="8" minRefreshableVersion="3" recordCount="0" supportSubquery="1" supportAdvancedDrill="1" xr:uid="{6627D8D5-8394-479A-B3D9-2553CB267930}">
  <cacheSource type="external" connectionId="7"/>
  <cacheFields count="5">
    <cacheField name="[Measures].[Total Revenue]" caption="Total Revenue" numFmtId="0" hierarchy="31" level="32767"/>
    <cacheField name="[Measures].[Total Quantity]" caption="Total Quantity" numFmtId="0" hierarchy="32" level="32767"/>
    <cacheField name="[Measures].[Total Profit]" caption="Total Profit" numFmtId="0" hierarchy="34" level="32767"/>
    <cacheField name="[Measures].[Profit Margin]" caption="Profit Margin" numFmtId="0" hierarchy="35"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4"/>
      </fieldsUsage>
    </cacheHierarchy>
    <cacheHierarchy uniqueName="[Calendar].[Seasons]" caption="Seasons" attribute="1" time="1" defaultMemberUniqueName="[Calendar].[Seasons].[All]" allUniqueName="[Calendar].[Seasons].[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0" memberValueDatatype="130" unbalanced="0"/>
    <cacheHierarchy uniqueName="[Retailer table].[Retailer]" caption="Retailer" attribute="1" defaultMemberUniqueName="[Retailer table].[Retailer].[All]" allUniqueName="[Retailer table].[Retailer].[All]" dimensionUniqueName="[Retailer table]" displayFolder="" count="0" memberValueDatatype="130" unbalanced="0"/>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0"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0"/>
      </fieldsUsage>
    </cacheHierarchy>
    <cacheHierarchy uniqueName="[Measures].[Total Quantity]" caption="Total Quantity" measure="1" displayFolder="" measureGroup="Data Sales Adidas" count="0" oneField="1">
      <fieldsUsage count="1">
        <fieldUsage x="1"/>
      </fieldsUsage>
    </cacheHierarchy>
    <cacheHierarchy uniqueName="[Measures].[Total Cost]" caption="Total Cost" measure="1" displayFolder="" measureGroup="Data Sales Adidas" count="0"/>
    <cacheHierarchy uniqueName="[Measures].[Total Profit]" caption="Total Profit" measure="1" displayFolder="" measureGroup="Data Sales Adidas" count="0" oneField="1">
      <fieldsUsage count="1">
        <fieldUsage x="2"/>
      </fieldsUsage>
    </cacheHierarchy>
    <cacheHierarchy uniqueName="[Measures].[Profit Margin]" caption="Profit Margin" measure="1" displayFolder="" measureGroup="Data Sales Adidas" count="0" oneField="1">
      <fieldsUsage count="1">
        <fieldUsage x="3"/>
      </fieldsUsage>
    </cacheHierarchy>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449081481478" backgroundQuery="1" createdVersion="8" refreshedVersion="8" minRefreshableVersion="3" recordCount="0" supportSubquery="1" supportAdvancedDrill="1" xr:uid="{5ECD9A20-7D6D-42F9-BE68-B14347BFDAC3}">
  <cacheSource type="external" connectionId="7"/>
  <cacheFields count="6">
    <cacheField name="[Calendar].[Year].[Year]" caption="Year" numFmtId="0" hierarchy="2"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Calendar].[Year].&amp;[2020]"/>
            <x15:cachedUniqueName index="1" name="[Calendar].[Year].&amp;[2021]"/>
          </x15:cachedUniqueNames>
        </ext>
      </extLst>
    </cacheField>
    <cacheField name="[Measures].[Total Revenue]" caption="Total Revenue" numFmtId="0" hierarchy="31" level="32767"/>
    <cacheField name="[Measures].[Total Quantity]" caption="Total Quantity" numFmtId="0" hierarchy="32" level="32767"/>
    <cacheField name="[Measures].[Total Profit]" caption="Total Profit" numFmtId="0" hierarchy="34" level="32767"/>
    <cacheField name="[Measures].[Profit Margin]" caption="Profit Margin" numFmtId="0" hierarchy="35" level="32767"/>
    <cacheField name="[Calendar].[Quarter].[Quarter]" caption="Quarter" numFmtId="0" hierarchy="6" level="1">
      <sharedItems containsSemiMixedTypes="0" containsNonDate="0" containsString="0"/>
    </cacheField>
  </cacheFields>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5"/>
      </fieldsUsage>
    </cacheHierarchy>
    <cacheHierarchy uniqueName="[Calendar].[Seasons]" caption="Seasons" attribute="1" time="1" defaultMemberUniqueName="[Calendar].[Seasons].[All]" allUniqueName="[Calendar].[Seasons].[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0" memberValueDatatype="130" unbalanced="0"/>
    <cacheHierarchy uniqueName="[Retailer table].[Retailer]" caption="Retailer" attribute="1" defaultMemberUniqueName="[Retailer table].[Retailer].[All]" allUniqueName="[Retailer table].[Retailer].[All]" dimensionUniqueName="[Retailer table]" displayFolder="" count="0" memberValueDatatype="130" unbalanced="0"/>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0"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oneField="1">
      <fieldsUsage count="1">
        <fieldUsage x="1"/>
      </fieldsUsage>
    </cacheHierarchy>
    <cacheHierarchy uniqueName="[Measures].[Total Quantity]" caption="Total Quantity" measure="1" displayFolder="" measureGroup="Data Sales Adidas" count="0" oneField="1">
      <fieldsUsage count="1">
        <fieldUsage x="2"/>
      </fieldsUsage>
    </cacheHierarchy>
    <cacheHierarchy uniqueName="[Measures].[Total Cost]" caption="Total Cost" measure="1" displayFolder="" measureGroup="Data Sales Adidas" count="0"/>
    <cacheHierarchy uniqueName="[Measures].[Total Profit]" caption="Total Profit" measure="1" displayFolder="" measureGroup="Data Sales Adidas" count="0" oneField="1">
      <fieldsUsage count="1">
        <fieldUsage x="3"/>
      </fieldsUsage>
    </cacheHierarchy>
    <cacheHierarchy uniqueName="[Measures].[Profit Margin]" caption="Profit Margin" measure="1" displayFolder="" measureGroup="Data Sales Adidas" count="0" oneField="1">
      <fieldsUsage count="1">
        <fieldUsage x="4"/>
      </fieldsUsage>
    </cacheHierarchy>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ata Sales Adidas" uniqueName="[Data Sales Adidas]" caption="Data Sales Adidas"/>
    <dimension name="Location table" uniqueName="[Location table]" caption="Location table"/>
    <dimension measure="1" name="Measures" uniqueName="[Measures]" caption="Measures"/>
    <dimension name="Product table" uniqueName="[Product table]" caption="Product table"/>
    <dimension name="Retailer table" uniqueName="[Retailer table]" caption="Retailer table"/>
    <dimension name="Sales method table" uniqueName="[Sales method table]" caption="Sales method table"/>
  </dimensions>
  <measureGroups count="6">
    <measureGroup name="Calendar" caption="Calendar"/>
    <measureGroup name="Data Sales Adidas" caption="Data Sales Adidas"/>
    <measureGroup name="Location table" caption="Location table"/>
    <measureGroup name="Product table" caption="Product table"/>
    <measureGroup name="Retailer table" caption="Retailer table"/>
    <measureGroup name="Sales method table" caption="Sales method tabl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652293634259" backgroundQuery="1" createdVersion="3" refreshedVersion="8" minRefreshableVersion="3" recordCount="0" supportSubquery="1" supportAdvancedDrill="1" xr:uid="{5AD5B628-686D-45D8-B710-CEAD18725A75}">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alendar].[Date Hierarchy]" caption="Date Hierarchy" time="1" defaultMemberUniqueName="[Calendar].[Date Hierarchy].[All]" allUniqueName="[Calendar].[Date Hierarchy].[All]" dimensionUniqueName="[Calendar]" displayFolder="" count="0" unbalanced="0"/>
    <cacheHierarchy uniqueName="[Calendar].[Invoice Date]" caption="Invoice Date" attribute="1" time="1" keyAttribute="1" defaultMemberUniqueName="[Calendar].[Invoice Date].[All]" allUniqueName="[Calendar].[Invoice 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alendar].[Seasons]" caption="Seasons" attribute="1" time="1" defaultMemberUniqueName="[Calendar].[Seasons].[All]" allUniqueName="[Calendar].[Seasons].[All]" dimensionUniqueName="[Calendar]"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13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5"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Location table].[State]" caption="State" attribute="1" defaultMemberUniqueName="[Location table].[State].[All]" allUniqueName="[Location table].[State].[All]" dimensionUniqueName="[Location table]" displayFolder="" count="0" memberValueDatatype="130" unbalanced="0"/>
    <cacheHierarchy uniqueName="[Location table].[City]" caption="City" attribute="1" defaultMemberUniqueName="[Location table].[City].[All]" allUniqueName="[Location table].[City].[All]" dimensionUniqueName="[Location table]" displayFolder="" count="0" memberValueDatatype="130" unbalanced="0"/>
    <cacheHierarchy uniqueName="[Location table].[Region]" caption="Region" attribute="1" defaultMemberUniqueName="[Location table].[Region].[All]" allUniqueName="[Location table].[Region].[All]" dimensionUniqueName="[Location table]" displayFolder="" count="0" memberValueDatatype="130" unbalanced="0"/>
    <cacheHierarchy uniqueName="[Product table].[Product]" caption="Product" attribute="1" defaultMemberUniqueName="[Product table].[Product].[All]" allUniqueName="[Product table].[Product].[All]" dimensionUniqueName="[Product table]" displayFolder="" count="0" memberValueDatatype="130" unbalanced="0"/>
    <cacheHierarchy uniqueName="[Retailer table].[Retailer]" caption="Retailer" attribute="1" defaultMemberUniqueName="[Retailer table].[Retailer].[All]" allUniqueName="[Retailer table].[Retailer].[All]" dimensionUniqueName="[Retailer table]" displayFolder="" count="0" memberValueDatatype="130" unbalanced="0"/>
    <cacheHierarchy uniqueName="[Retailer table].[Retailer ID]" caption="Retailer ID" attribute="1" defaultMemberUniqueName="[Retailer table].[Retailer ID].[All]" allUniqueName="[Retailer table].[Retailer ID].[All]" dimensionUniqueName="[Retailer table]" displayFolder="" count="0" memberValueDatatype="130" unbalanced="0"/>
    <cacheHierarchy uniqueName="[Sales method table].[Sales Method]" caption="Sales Method" attribute="1" defaultMemberUniqueName="[Sales method table].[Sales Method].[All]" allUniqueName="[Sales method table].[Sales Method].[All]" dimensionUniqueName="[Sales method table]" displayFolder="" count="0" memberValueDatatype="130" unbalanced="0"/>
    <cacheHierarchy uniqueName="[Measures].[Sum of Price per Unit]" caption="Sum of Price per Unit" measure="1" displayFolder="" measureGroup="Data Sales Adidas" count="0">
      <extLst>
        <ext xmlns:x15="http://schemas.microsoft.com/office/spreadsheetml/2010/11/main" uri="{B97F6D7D-B522-45F9-BDA1-12C45D357490}">
          <x15:cacheHierarchy aggregatedColumn="15"/>
        </ext>
      </extLst>
    </cacheHierarchy>
    <cacheHierarchy uniqueName="[Measures].[Sum of Operating Profit]" caption="Sum of Operating Profit" measure="1" displayFolder="" measureGroup="Data Sales Adidas" count="0">
      <extLst>
        <ext xmlns:x15="http://schemas.microsoft.com/office/spreadsheetml/2010/11/main" uri="{B97F6D7D-B522-45F9-BDA1-12C45D357490}">
          <x15:cacheHierarchy aggregatedColumn="18"/>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Total Revenue]" caption="Total Revenue" measure="1" displayFolder="" measureGroup="Data Sales Adidas" count="0"/>
    <cacheHierarchy uniqueName="[Measures].[Total Quantity]" caption="Total Quantity" measure="1" displayFolder="" measureGroup="Data Sales Adidas" count="0"/>
    <cacheHierarchy uniqueName="[Measures].[Total Cost]" caption="Total Cost" measure="1" displayFolder="" measureGroup="Data Sales Adidas" count="0"/>
    <cacheHierarchy uniqueName="[Measures].[Total Profit]" caption="Total Profit" measure="1" displayFolder="" measureGroup="Data Sales Adidas" count="0"/>
    <cacheHierarchy uniqueName="[Measures].[Profit Margin]" caption="Profit Margin" measure="1" displayFolder="" measureGroup="Data Sales Adidas" count="0"/>
    <cacheHierarchy uniqueName="[Measures].[Revenue LY]" caption="Revenue LY" measure="1" displayFolder="" measureGroup="Data Sales Adidas" count="0"/>
    <cacheHierarchy uniqueName="[Measures].[YoY ]" caption="YoY " measure="1" displayFolder="" measureGroup="Data Sales Adidas" count="0"/>
    <cacheHierarchy uniqueName="[Measures].[Revenue LM]" caption="Revenue LM" measure="1" displayFolder="" measureGroup="Data Sales Adidas" count="0"/>
    <cacheHierarchy uniqueName="[Measures].[MoM]" caption="MoM" measure="1" displayFolder="" measureGroup="Data Sales Adidas" count="0"/>
    <cacheHierarchy uniqueName="[Measures].[Quantity LY]" caption="Quantity LY" measure="1" displayFolder="" measureGroup="Data Sales Adidas" count="0"/>
    <cacheHierarchy uniqueName="[Measures].[YoY]" caption="YoY" measure="1" displayFolder="" measureGroup="Data Sales Adidas" count="0"/>
    <cacheHierarchy uniqueName="[Measures].[Quantity LM]" caption="Quantity LM" measure="1" displayFolder="" measureGroup="Data Sales Adidas" count="0"/>
    <cacheHierarchy uniqueName="[Measures].[ Quantity MoM]" caption=" Quantity MoM" measure="1" displayFolder="" measureGroup="Data Sales Adidas" count="0"/>
    <cacheHierarchy uniqueName="[Measures].[Profit LY]" caption="Profit LY" measure="1" displayFolder="" measureGroup="Data Sales Adidas" count="0"/>
    <cacheHierarchy uniqueName="[Measures].[Profit YoY]" caption="Profit YoY" measure="1" displayFolder="" measureGroup="Data Sales Adidas" count="0"/>
    <cacheHierarchy uniqueName="[Measures].[Profit LM]" caption="Profit LM" measure="1" displayFolder="" measureGroup="Data Sales Adidas" count="0"/>
    <cacheHierarchy uniqueName="[Measures].[Profit MoM]" caption="Profit MoM" measure="1" displayFolder="" measureGroup="Data Sales Adidas" count="0"/>
    <cacheHierarchy uniqueName="[Measures].[Profit margin LY]" caption="Profit margin LY" measure="1" displayFolder="" measureGroup="Data Sales Adidas" count="0"/>
    <cacheHierarchy uniqueName="[Measures].[Profit margin YoY]" caption="Profit margin YoY" measure="1" displayFolder="" measureGroup="Data Sales Adidas" count="0"/>
    <cacheHierarchy uniqueName="[Measures].[Profit margin LM]" caption="Profit margin LM" measure="1" displayFolder="" measureGroup="Data Sales Adidas" count="0"/>
    <cacheHierarchy uniqueName="[Measures].[Profit margin MoM]" caption="Profit margin MoM" measure="1" displayFolder="" measureGroup="Data Sales Adidas" count="0"/>
    <cacheHierarchy uniqueName="[Measures].[Sales 2020]" caption="Sales 2020" measure="1" displayFolder="" measureGroup="Data Sales Adidas" count="0"/>
    <cacheHierarchy uniqueName="[Measures].[Sales 2021]" caption="Sales 2021" measure="1" displayFolder="" measureGroup="Data Sales Adidas" count="0"/>
    <cacheHierarchy uniqueName="[Measures].[Benchmark ]" caption="Benchmark " measure="1" displayFolder="" measureGroup="Data Sales Adidas" count="0"/>
    <cacheHierarchy uniqueName="[Measures].[Variance]" caption="Variance" measure="1" displayFolder="" measureGroup="Data Sales Adidas" count="0"/>
    <cacheHierarchy uniqueName="[Measures].[% to Benchmark]" caption="% to Benchmark" measure="1" displayFolder="" measureGroup="Data Sales Adidas" count="0"/>
    <cacheHierarchy uniqueName="[Measures].[__XL_Count Data Sales Adidas]" caption="__XL_Count Data Sales Adidas" measure="1" displayFolder="" measureGroup="Data Sales Adidas" count="0" hidden="1"/>
    <cacheHierarchy uniqueName="[Measures].[__XL_Count Location table]" caption="__XL_Count Location table" measure="1" displayFolder="" measureGroup="Location table" count="0" hidden="1"/>
    <cacheHierarchy uniqueName="[Measures].[__XL_Count Product table]" caption="__XL_Count Product table" measure="1" displayFolder="" measureGroup="Product table" count="0" hidden="1"/>
    <cacheHierarchy uniqueName="[Measures].[__XL_Count Sales method table]" caption="__XL_Count Sales method table" measure="1" displayFolder="" measureGroup="Sales method table" count="0" hidden="1"/>
    <cacheHierarchy uniqueName="[Measures].[__XL_Count Retailer table]" caption="__XL_Count Retailer table" measure="1" displayFolder="" measureGroup="Retailer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397546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F0330-7EE4-45A0-99E8-CE76E6E188B0}" name="Total sales by Region" cacheId="93" applyNumberFormats="0" applyBorderFormats="0" applyFontFormats="0" applyPatternFormats="0" applyAlignmentFormats="0" applyWidthHeightFormats="1" dataCaption="Values" tag="adc23a36-9a68-4501-97e5-3c2e18b01209" updatedVersion="8" minRefreshableVersion="3" useAutoFormatting="1" subtotalHiddenItems="1" rowGrandTotals="0" colGrandTotals="0" itemPrintTitles="1" createdVersion="8" indent="0" outline="1" outlineData="1" multipleFieldFilters="0" chartFormat="29" rowHeaderCaption="Region">
  <location ref="H15:I2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1"/>
    </i>
    <i>
      <x v="3"/>
    </i>
    <i>
      <x v="2"/>
    </i>
    <i>
      <x/>
    </i>
  </rowItems>
  <colItems count="1">
    <i/>
  </colItems>
  <dataFields count="1">
    <dataField name="Total Sales" fld="1" subtotal="count" baseField="0" baseItem="0" numFmtId="164"/>
  </dataFields>
  <formats count="6">
    <format dxfId="5">
      <pivotArea outline="0" collapsedLevelsAreSubtotals="1" fieldPosition="0"/>
    </format>
    <format dxfId="4">
      <pivotArea field="0" type="button" dataOnly="0" labelOnly="1" outline="0" axis="axisRow" fieldPosition="0"/>
    </format>
    <format dxfId="3">
      <pivotArea dataOnly="0" labelOnly="1" outline="0" axis="axisValues" fieldPosition="0"/>
    </format>
    <format dxfId="2">
      <pivotArea outline="0" collapsedLevelsAreSubtotals="1" fieldPosition="0"/>
    </format>
    <format dxfId="1">
      <pivotArea dataOnly="0" labelOnly="1" fieldPosition="0">
        <references count="1">
          <reference field="0" count="0"/>
        </references>
      </pivotArea>
    </format>
    <format dxfId="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table]"/>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6669D-FB92-44A0-953E-BBEEB61EE5E4}" name="PivotTable4" cacheId="97" applyNumberFormats="0" applyBorderFormats="0" applyFontFormats="0" applyPatternFormats="0" applyAlignmentFormats="0" applyWidthHeightFormats="1" dataCaption="Values" tag="73ad4ec4-7f7a-4a11-b8fa-0822189ba990" updatedVersion="8" minRefreshableVersion="3" useAutoFormatting="1" subtotalHiddenItems="1" rowGrandTotals="0" itemPrintTitles="1" createdVersion="8" indent="0" compact="0" compactData="0" multipleFieldFilters="0">
  <location ref="N8:P13" firstHeaderRow="0" firstDataRow="1" firstDataCol="1"/>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dataFields>
  <formats count="10">
    <format dxfId="15">
      <pivotArea dataOnly="0" labelOnly="1" fieldPosition="0">
        <references count="1">
          <reference field="0" count="0"/>
        </references>
      </pivotArea>
    </format>
    <format dxfId="14">
      <pivotArea field="0" type="button" dataOnly="0" labelOnly="1" outline="0" axis="axisRow" fieldPosition="0"/>
    </format>
    <format dxfId="13">
      <pivotArea field="0" type="button" dataOnly="0" labelOnly="1" outline="0" axis="axisRow" fieldPosition="0"/>
    </format>
    <format dxfId="12">
      <pivotArea outline="0" collapsedLevelsAreSubtotals="1" fieldPosition="0"/>
    </format>
    <format dxfId="11">
      <pivotArea dataOnly="0" labelOnly="1" outline="0" fieldPosition="0">
        <references count="1">
          <reference field="0" count="0"/>
        </references>
      </pivotArea>
    </format>
    <format dxfId="10">
      <pivotArea dataOnly="0" labelOnly="1" outline="0" fieldPosition="0">
        <references count="1">
          <reference field="0" count="0"/>
        </references>
      </pivotArea>
    </format>
    <format dxfId="9">
      <pivotArea dataOnly="0" labelOnly="1" outline="0" fieldPosition="0">
        <references count="1">
          <reference field="0" count="0"/>
        </references>
      </pivotArea>
    </format>
    <format dxfId="8">
      <pivotArea outline="0" collapsedLevelsAreSubtotals="1" fieldPosition="0"/>
    </format>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1"/>
          </reference>
        </references>
      </pivotArea>
    </format>
  </formats>
  <pivotHierarchies count="64">
    <pivotHierarchy multipleItemSelectionAllowed="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2020 Benchmark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table]"/>
        <x15:activeTabTopLevelEntity name="[Data Sales Adida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8D30F-87A0-4D6D-8C50-94EA2A33D58D}" name="Total sales by Sales method" cacheId="91" applyNumberFormats="0" applyBorderFormats="0" applyFontFormats="0" applyPatternFormats="0" applyAlignmentFormats="0" applyWidthHeightFormats="1" dataCaption="Values" tag="fd37125a-e1ee-42d2-8510-d22ff40f0745" updatedVersion="8" minRefreshableVersion="3" useAutoFormatting="1" subtotalHiddenItems="1" rowGrandTotals="0" colGrandTotals="0" itemPrintTitles="1" createdVersion="8" indent="0" outline="1" outlineData="1" multipleFieldFilters="0" chartFormat="16" rowHeaderCaption="Sales Method">
  <location ref="B18:C21" firstHeaderRow="1" firstDataRow="1" firstDataCol="1"/>
  <pivotFields count="4">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Total Sales" fld="1" subtotal="count" baseField="0" baseItem="0" numFmtId="164"/>
  </dataFields>
  <formats count="6">
    <format dxfId="21">
      <pivotArea outline="0" collapsedLevelsAreSubtotals="1" fieldPosition="0"/>
    </format>
    <format dxfId="20">
      <pivotArea field="2" type="button" dataOnly="0" labelOnly="1" outline="0" axis="axisRow" fieldPosition="0"/>
    </format>
    <format dxfId="19">
      <pivotArea dataOnly="0" labelOnly="1" outline="0" axis="axisValues" fieldPosition="0"/>
    </format>
    <format dxfId="18">
      <pivotArea outline="0" collapsedLevelsAreSubtotals="1" fieldPosition="0"/>
    </format>
    <format dxfId="17">
      <pivotArea dataOnly="0" labelOnly="1" fieldPosition="0">
        <references count="1">
          <reference field="2" count="0"/>
        </references>
      </pivotArea>
    </format>
    <format dxfId="16">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0"/>
          </reference>
        </references>
      </pivotArea>
    </chartFormat>
    <chartFormat chart="15" format="10">
      <pivotArea type="data" outline="0" fieldPosition="0">
        <references count="2">
          <reference field="4294967294" count="1" selected="0">
            <x v="0"/>
          </reference>
          <reference field="2" count="1" selected="0">
            <x v="1"/>
          </reference>
        </references>
      </pivotArea>
    </chartFormat>
    <chartFormat chart="15" format="11">
      <pivotArea type="data" outline="0" fieldPosition="0">
        <references count="2">
          <reference field="4294967294" count="1" selected="0">
            <x v="0"/>
          </reference>
          <reference field="2" count="1" selected="0">
            <x v="2"/>
          </reference>
        </references>
      </pivotArea>
    </chartFormat>
  </chart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 table]"/>
        <x15:activeTabTopLevelEntity name="[Data Sales Adidas]"/>
        <x15:activeTabTopLevelEntity name="[Sales metho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EAC92-8CB4-40BB-BA75-95F4EDB52B87}" name="PivotTable2" cacheId="1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E8"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4">
    <i>
      <x/>
    </i>
    <i i="1">
      <x v="1"/>
    </i>
    <i i="2">
      <x v="2"/>
    </i>
    <i i="3">
      <x v="3"/>
    </i>
  </colItems>
  <dataFields count="4">
    <dataField fld="1" subtotal="count" baseField="0" baseItem="0" numFmtId="164"/>
    <dataField fld="2" subtotal="count" baseField="0" baseItem="0" numFmtId="166"/>
    <dataField fld="3" subtotal="count" baseField="0" baseItem="0" numFmtId="164"/>
    <dataField fld="4" subtotal="count" baseField="0" baseItem="0" numFmtId="10"/>
  </dataFields>
  <formats count="7">
    <format dxfId="28">
      <pivotArea field="0" type="button" dataOnly="0" labelOnly="1" outline="0" axis="axisRow" fieldPosition="0"/>
    </format>
    <format dxfId="27">
      <pivotArea dataOnly="0" labelOnly="1" outline="0" fieldPosition="0">
        <references count="1">
          <reference field="4294967294" count="4">
            <x v="0"/>
            <x v="1"/>
            <x v="2"/>
            <x v="3"/>
          </reference>
        </references>
      </pivotArea>
    </format>
    <format dxfId="26">
      <pivotArea outline="0" collapsedLevelsAreSubtotals="1" fieldPosition="0">
        <references count="1">
          <reference field="4294967294" count="1" selected="0">
            <x v="3"/>
          </reference>
        </references>
      </pivotArea>
    </format>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2">
      <pivotArea dataOnly="0" labelOnly="1" fieldPosition="0">
        <references count="1">
          <reference field="0" count="0"/>
        </references>
      </pivotArea>
    </format>
  </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8"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5AB9FD-6133-45D0-AF72-803A8A9A5063}" name="PivotTable1"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numFmtId="166"/>
    <dataField fld="2" subtotal="count" baseField="0" baseItem="0" numFmtId="164"/>
    <dataField fld="3" subtotal="count" baseField="0" baseItem="0" numFmtId="10"/>
  </dataFields>
  <formats count="9">
    <format dxfId="37">
      <pivotArea type="all" dataOnly="0" outline="0" fieldPosition="0"/>
    </format>
    <format dxfId="36">
      <pivotArea outline="0" collapsedLevelsAreSubtotals="1" fieldPosition="0"/>
    </format>
    <format dxfId="35">
      <pivotArea dataOnly="0" labelOnly="1" outline="0" fieldPosition="0">
        <references count="1">
          <reference field="4294967294" count="4">
            <x v="0"/>
            <x v="1"/>
            <x v="2"/>
            <x v="3"/>
          </reference>
        </references>
      </pivotArea>
    </format>
    <format dxfId="34">
      <pivotArea outline="0" collapsedLevelsAreSubtotals="1" fieldPosition="0">
        <references count="1">
          <reference field="4294967294" count="1" selected="0">
            <x v="3"/>
          </reference>
        </references>
      </pivotArea>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1"/>
          </reference>
        </references>
      </pivotArea>
    </format>
  </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8"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5C6CA-EA29-4ADB-BBB5-743F3CAA343C}" name="Total sales by product" cacheId="95" applyNumberFormats="0" applyBorderFormats="0" applyFontFormats="0" applyPatternFormats="0" applyAlignmentFormats="0" applyWidthHeightFormats="1" dataCaption="Values" tag="23cd97c2-08b7-463e-8788-d0507bc35279" updatedVersion="8" minRefreshableVersion="3" subtotalHiddenItems="1" rowGrandTotals="0" colGrandTotals="0" itemPrintTitles="1" createdVersion="8" indent="0" outline="1" outlineData="1" multipleFieldFilters="0" chartFormat="39" rowHeaderCaption="Products">
  <location ref="K9:L15"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5"/>
    </i>
    <i>
      <x/>
    </i>
    <i>
      <x v="4"/>
    </i>
  </rowItems>
  <colItems count="1">
    <i/>
  </colItems>
  <dataFields count="1">
    <dataField name="Total Sales" fld="1" subtotal="count" baseField="0" baseItem="0" numFmtId="164"/>
  </dataFields>
  <formats count="8">
    <format dxfId="45">
      <pivotArea outline="0" collapsedLevelsAreSubtotals="1" fieldPosition="0"/>
    </format>
    <format dxfId="44">
      <pivotArea field="0" type="button" dataOnly="0" labelOnly="1" outline="0" axis="axisRow" fieldPosition="0"/>
    </format>
    <format dxfId="43">
      <pivotArea dataOnly="0" labelOnly="1" outline="0" axis="axisValues" fieldPosition="0"/>
    </format>
    <format dxfId="42">
      <pivotArea outline="0" collapsedLevelsAreSubtotals="1" fieldPosition="0"/>
    </format>
    <format dxfId="41">
      <pivotArea dataOnly="0" labelOnly="1" fieldPosition="0">
        <references count="1">
          <reference field="0" count="0"/>
        </references>
      </pivotArea>
    </format>
    <format dxfId="40">
      <pivotArea outline="0" collapsedLevelsAreSubtotals="1" fieldPosition="0"/>
    </format>
    <format dxfId="39">
      <pivotArea dataOnly="0" labelOnly="1" fieldPosition="0">
        <references count="1">
          <reference field="0" count="0"/>
        </references>
      </pivotArea>
    </format>
    <format dxfId="38">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table]"/>
        <x15:activeTabTopLevelEntity name="[Data Sales Adidas]"/>
        <x15:activeTabTopLevelEntity name="[Location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A7D40F-AE22-4E76-8E8E-FE09B2A01696}" name="Total Sales by Month" cacheId="87" applyNumberFormats="0" applyBorderFormats="0" applyFontFormats="0" applyPatternFormats="0" applyAlignmentFormats="0" applyWidthHeightFormats="1" dataCaption="Values" tag="47a9f007-308e-431d-b56c-38d3185f4682" updatedVersion="8" minRefreshableVersion="3" subtotalHiddenItems="1" rowGrandTotals="0" colGrandTotals="0" itemPrintTitles="1" createdVersion="8" indent="0" outline="1" outlineData="1" multipleFieldFilters="0" chartFormat="57" rowHeaderCaption="Month">
  <location ref="H1:I13"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Total Sales" fld="1" subtotal="count" baseField="0" baseItem="0" numFmtId="164"/>
  </dataFields>
  <formats count="6">
    <format dxfId="51">
      <pivotArea outline="0" collapsedLevelsAreSubtotals="1" fieldPosition="0"/>
    </format>
    <format dxfId="50">
      <pivotArea field="2" type="button" dataOnly="0" labelOnly="1" outline="0" axis="axisRow" fieldPosition="0"/>
    </format>
    <format dxfId="49">
      <pivotArea dataOnly="0" labelOnly="1" outline="0" axis="axisValues" fieldPosition="0"/>
    </format>
    <format dxfId="48">
      <pivotArea outline="0" collapsedLevelsAreSubtotals="1" fieldPosition="0"/>
    </format>
    <format dxfId="47">
      <pivotArea dataOnly="0" labelOnly="1" fieldPosition="0">
        <references count="1">
          <reference field="2" count="0"/>
        </references>
      </pivotArea>
    </format>
    <format dxfId="46">
      <pivotArea outline="0" collapsedLevelsAreSubtotals="1" fieldPosition="0"/>
    </format>
  </formats>
  <chartFormats count="6">
    <chartFormat chart="9"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table]"/>
        <x15:activeTabTopLevelEntity name="[Data Sales Adida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57B4A8-E3F0-4456-BD8D-344411EA41C7}" name="Total sales by Retailer" cacheId="89" applyNumberFormats="0" applyBorderFormats="0" applyFontFormats="0" applyPatternFormats="0" applyAlignmentFormats="0" applyWidthHeightFormats="1" dataCaption="Values" tag="6b6052e5-0dfb-4138-9cee-146a585a53c7" updatedVersion="8" minRefreshableVersion="3" useAutoFormatting="1" subtotalHiddenItems="1" rowGrandTotals="0" colGrandTotals="0" itemPrintTitles="1" createdVersion="8" indent="0" outline="1" outlineData="1" multipleFieldFilters="0" chartFormat="13" rowHeaderCaption="Retailer">
  <location ref="K1:L7"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5"/>
    </i>
    <i>
      <x v="1"/>
    </i>
    <i>
      <x v="3"/>
    </i>
    <i>
      <x v="2"/>
    </i>
    <i>
      <x/>
    </i>
    <i>
      <x v="4"/>
    </i>
  </rowItems>
  <colItems count="1">
    <i/>
  </colItems>
  <dataFields count="1">
    <dataField name="Total Sales" fld="1" subtotal="count" baseField="0" baseItem="0" numFmtId="164"/>
  </dataFields>
  <formats count="6">
    <format dxfId="57">
      <pivotArea outline="0" collapsedLevelsAreSubtotals="1" fieldPosition="0"/>
    </format>
    <format dxfId="56">
      <pivotArea field="0" type="button" dataOnly="0" labelOnly="1" outline="0" axis="axisRow" fieldPosition="0"/>
    </format>
    <format dxfId="55">
      <pivotArea dataOnly="0" labelOnly="1" outline="0" axis="axisValues" fieldPosition="0"/>
    </format>
    <format dxfId="54">
      <pivotArea outline="0" collapsedLevelsAreSubtotals="1" fieldPosition="0"/>
    </format>
    <format dxfId="53">
      <pivotArea dataOnly="0" labelOnly="1" fieldPosition="0">
        <references count="1">
          <reference field="0" count="0"/>
        </references>
      </pivotArea>
    </format>
    <format dxfId="5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64">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 table]"/>
        <x15:activeTabTopLevelEntity name="[Data Sales Adida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80D242A-E3CA-4825-A321-0A3B469BE8A9}" sourceName="[Calendar].[Quarter]">
  <pivotTables>
    <pivotTable tabId="12" name="Total Sales by Month"/>
    <pivotTable tabId="12" name="Total sales by Retailer"/>
    <pivotTable tabId="12" name="Total sales by Sales method"/>
    <pivotTable tabId="12" name="Total sales by Region"/>
    <pivotTable tabId="12" name="Total sales by product"/>
    <pivotTable tabId="12" name="PivotTable4"/>
    <pivotTable tabId="12" name="PivotTable1"/>
    <pivotTable tabId="12" name="PivotTable2"/>
  </pivotTables>
  <data>
    <olap pivotCacheId="1939754672">
      <levels count="2">
        <level uniqueName="[Calendar].[Quarter].[(All)]" sourceCaption="(All)" count="0"/>
        <level uniqueName="[Calendar].[Quarter].[Quarter]" sourceCaption="Quarter" count="4">
          <ranges>
            <range startItem="0">
              <i n="[Calendar].[Quarter].&amp;[Q1]" c="Q1"/>
              <i n="[Calendar].[Quarter].&amp;[Q2]" c="Q2"/>
              <i n="[Calendar].[Quarter].&amp;[Q3]" c="Q3"/>
              <i n="[Calendar].[Quarter].&amp;[Q4]" c="Q4"/>
            </range>
          </ranges>
        </level>
      </levels>
      <selections count="1">
        <selection n="[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B7E211D-7017-4862-A6C0-94FFC28F293C}" cache="Slicer_Quarter" caption="Quarter" columnCount="4" level="1" style="custom" rowHeight="251883"/>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FDEF-D677-4360-9869-F3127F2C770A}">
  <sheetPr codeName="Sheet3"/>
  <dimension ref="A1:S21"/>
  <sheetViews>
    <sheetView topLeftCell="A5" workbookViewId="0">
      <selection activeCell="E13" sqref="E13"/>
    </sheetView>
  </sheetViews>
  <sheetFormatPr defaultRowHeight="14.5" x14ac:dyDescent="0.35"/>
  <cols>
    <col min="1" max="1" width="12.36328125" bestFit="1" customWidth="1"/>
    <col min="2" max="2" width="12.7265625" bestFit="1" customWidth="1"/>
    <col min="3" max="3" width="13" bestFit="1" customWidth="1"/>
    <col min="4" max="4" width="10.26953125" bestFit="1" customWidth="1"/>
    <col min="5" max="5" width="11.90625" bestFit="1" customWidth="1"/>
    <col min="6" max="6" width="13.26953125" bestFit="1" customWidth="1"/>
    <col min="7" max="7" width="12.08984375" customWidth="1"/>
    <col min="8" max="8" width="9.26953125" bestFit="1" customWidth="1"/>
    <col min="9" max="9" width="9.7265625" bestFit="1" customWidth="1"/>
    <col min="11" max="11" width="11.6328125" bestFit="1" customWidth="1"/>
    <col min="12" max="12" width="9.7265625" bestFit="1" customWidth="1"/>
    <col min="13" max="13" width="11.7265625" customWidth="1"/>
    <col min="14" max="14" width="8.7265625" bestFit="1" customWidth="1"/>
    <col min="15" max="15" width="9.453125" bestFit="1" customWidth="1"/>
    <col min="16" max="17" width="9.81640625" bestFit="1" customWidth="1"/>
    <col min="18" max="18" width="11.90625" bestFit="1" customWidth="1"/>
    <col min="19" max="19" width="11.7265625" bestFit="1" customWidth="1"/>
  </cols>
  <sheetData>
    <row r="1" spans="1:19" x14ac:dyDescent="0.35">
      <c r="A1" s="12" t="s">
        <v>0</v>
      </c>
      <c r="B1" s="12" t="s">
        <v>1</v>
      </c>
      <c r="C1" s="12" t="s">
        <v>2</v>
      </c>
      <c r="D1" s="12" t="s">
        <v>3</v>
      </c>
      <c r="H1" s="11" t="s">
        <v>30</v>
      </c>
      <c r="I1" s="12" t="s">
        <v>4</v>
      </c>
      <c r="K1" s="11" t="s">
        <v>37</v>
      </c>
      <c r="L1" s="12" t="s">
        <v>4</v>
      </c>
      <c r="N1" s="7" t="s">
        <v>17</v>
      </c>
      <c r="O1" s="7" t="s">
        <v>44</v>
      </c>
      <c r="P1" s="7" t="s">
        <v>43</v>
      </c>
      <c r="Q1" s="7" t="s">
        <v>42</v>
      </c>
      <c r="R1" s="7" t="s">
        <v>56</v>
      </c>
      <c r="S1" s="7" t="s">
        <v>45</v>
      </c>
    </row>
    <row r="2" spans="1:19" x14ac:dyDescent="0.35">
      <c r="A2" s="20">
        <v>899902125</v>
      </c>
      <c r="B2" s="15">
        <v>2478861</v>
      </c>
      <c r="C2" s="20">
        <v>899465875</v>
      </c>
      <c r="D2" s="13">
        <v>0.99951522505850288</v>
      </c>
      <c r="H2" s="16" t="s">
        <v>22</v>
      </c>
      <c r="I2" s="14">
        <v>71479142</v>
      </c>
      <c r="K2" s="16" t="s">
        <v>36</v>
      </c>
      <c r="L2" s="14">
        <v>242964333</v>
      </c>
      <c r="N2" s="7" t="str">
        <f>N9</f>
        <v>Midwest</v>
      </c>
      <c r="O2" s="4">
        <f t="shared" ref="O2:P2" si="0">O9</f>
        <v>7378068</v>
      </c>
      <c r="P2" s="4">
        <f t="shared" si="0"/>
        <v>128422391</v>
      </c>
      <c r="Q2" s="5">
        <f>P2 - O2</f>
        <v>121044323</v>
      </c>
      <c r="R2" s="10">
        <f>IF(O2=0, " ",P2/O2)</f>
        <v>17.40596467801598</v>
      </c>
      <c r="S2" s="7" t="str">
        <f>IF(R2=" ","New Market",IF(R2&gt;=1,"Beat target","Missed target"))</f>
        <v>Beat target</v>
      </c>
    </row>
    <row r="3" spans="1:19" x14ac:dyDescent="0.35">
      <c r="H3" s="16" t="s">
        <v>21</v>
      </c>
      <c r="I3" s="14">
        <v>61100153</v>
      </c>
      <c r="K3" s="16" t="s">
        <v>32</v>
      </c>
      <c r="L3" s="14">
        <v>220094720</v>
      </c>
      <c r="N3" s="7" t="str">
        <f t="shared" ref="N3:P3" si="1">N10</f>
        <v>Northeast</v>
      </c>
      <c r="O3" s="4">
        <f t="shared" si="1"/>
        <v>40749709</v>
      </c>
      <c r="P3" s="4">
        <f t="shared" si="1"/>
        <v>145574358</v>
      </c>
      <c r="Q3" s="5">
        <f t="shared" ref="Q3:Q6" si="2">P3 - O3</f>
        <v>104824649</v>
      </c>
      <c r="R3" s="10">
        <f t="shared" ref="R3:R6" si="3">IF(O3=0, " ",P3/O3)</f>
        <v>3.5724023943336625</v>
      </c>
      <c r="S3" s="7" t="str">
        <f t="shared" ref="S3:S6" si="4">IF(R3=" ","New Market",IF(R3&gt;=1,"Beat target","Missed target"))</f>
        <v>Beat target</v>
      </c>
    </row>
    <row r="4" spans="1:19" x14ac:dyDescent="0.35">
      <c r="H4" s="16" t="s">
        <v>25</v>
      </c>
      <c r="I4" s="14">
        <v>56809109</v>
      </c>
      <c r="K4" s="16" t="s">
        <v>34</v>
      </c>
      <c r="L4" s="14">
        <v>182470997</v>
      </c>
      <c r="N4" s="7" t="str">
        <f t="shared" ref="N4:P4" si="5">N11</f>
        <v>South</v>
      </c>
      <c r="O4" s="4">
        <f t="shared" si="5"/>
        <v>25456882</v>
      </c>
      <c r="P4" s="4">
        <f t="shared" si="5"/>
        <v>119206299</v>
      </c>
      <c r="Q4" s="5">
        <f t="shared" si="2"/>
        <v>93749417</v>
      </c>
      <c r="R4" s="10">
        <f t="shared" si="3"/>
        <v>4.6826747674754516</v>
      </c>
      <c r="S4" s="7" t="str">
        <f t="shared" si="4"/>
        <v>Beat target</v>
      </c>
    </row>
    <row r="5" spans="1:19" x14ac:dyDescent="0.35">
      <c r="H5" s="16" t="s">
        <v>18</v>
      </c>
      <c r="I5" s="14">
        <v>72339970</v>
      </c>
      <c r="K5" s="16" t="s">
        <v>33</v>
      </c>
      <c r="L5" s="14">
        <v>102114753</v>
      </c>
      <c r="N5" s="7" t="str">
        <f t="shared" ref="N5:P5" si="6">N12</f>
        <v>Southeast</v>
      </c>
      <c r="O5" s="4">
        <f t="shared" si="6"/>
        <v>31600863</v>
      </c>
      <c r="P5" s="4">
        <f t="shared" si="6"/>
        <v>131570373</v>
      </c>
      <c r="Q5" s="5">
        <f t="shared" si="2"/>
        <v>99969510</v>
      </c>
      <c r="R5" s="10">
        <f t="shared" si="3"/>
        <v>4.1635056928666794</v>
      </c>
      <c r="S5" s="7" t="str">
        <f t="shared" si="4"/>
        <v>Beat target</v>
      </c>
    </row>
    <row r="6" spans="1:19" x14ac:dyDescent="0.35">
      <c r="A6" s="11" t="s">
        <v>46</v>
      </c>
      <c r="B6" s="12" t="s">
        <v>0</v>
      </c>
      <c r="C6" s="12" t="s">
        <v>1</v>
      </c>
      <c r="D6" s="12" t="s">
        <v>2</v>
      </c>
      <c r="E6" s="12" t="s">
        <v>3</v>
      </c>
      <c r="H6" s="16" t="s">
        <v>26</v>
      </c>
      <c r="I6" s="14">
        <v>80507695</v>
      </c>
      <c r="K6" s="16" t="s">
        <v>31</v>
      </c>
      <c r="L6" s="14">
        <v>77698912</v>
      </c>
      <c r="N6" s="7" t="str">
        <f t="shared" ref="N6:P6" si="7">N13</f>
        <v>West</v>
      </c>
      <c r="O6" s="4">
        <f t="shared" si="7"/>
        <v>76895153</v>
      </c>
      <c r="P6" s="4">
        <f t="shared" si="7"/>
        <v>193048029</v>
      </c>
      <c r="Q6" s="5">
        <f t="shared" si="2"/>
        <v>116152876</v>
      </c>
      <c r="R6" s="10">
        <f t="shared" si="3"/>
        <v>2.510535729085551</v>
      </c>
      <c r="S6" s="7" t="str">
        <f t="shared" si="4"/>
        <v>Beat target</v>
      </c>
    </row>
    <row r="7" spans="1:19" x14ac:dyDescent="0.35">
      <c r="A7" s="16">
        <v>2020</v>
      </c>
      <c r="B7" s="14">
        <v>182080675</v>
      </c>
      <c r="C7" s="15">
        <v>462349</v>
      </c>
      <c r="D7" s="14">
        <v>182014755</v>
      </c>
      <c r="E7" s="13">
        <v>0.99963796267780747</v>
      </c>
      <c r="H7" s="16" t="s">
        <v>24</v>
      </c>
      <c r="I7" s="14">
        <v>74747372</v>
      </c>
      <c r="K7" s="16" t="s">
        <v>35</v>
      </c>
      <c r="L7" s="14">
        <v>74558410</v>
      </c>
    </row>
    <row r="8" spans="1:19" x14ac:dyDescent="0.35">
      <c r="A8" s="16">
        <v>2021</v>
      </c>
      <c r="B8" s="14">
        <v>717821450</v>
      </c>
      <c r="C8" s="15">
        <v>2016512</v>
      </c>
      <c r="D8" s="14">
        <v>717451120</v>
      </c>
      <c r="E8" s="13">
        <v>0.99948409176125896</v>
      </c>
      <c r="H8" s="16" t="s">
        <v>23</v>
      </c>
      <c r="I8" s="14">
        <v>95480694</v>
      </c>
      <c r="N8" s="11" t="s">
        <v>17</v>
      </c>
      <c r="O8" s="12" t="s">
        <v>55</v>
      </c>
      <c r="P8" s="12" t="s">
        <v>43</v>
      </c>
    </row>
    <row r="9" spans="1:19" x14ac:dyDescent="0.35">
      <c r="H9" s="16" t="s">
        <v>19</v>
      </c>
      <c r="I9" s="14">
        <v>92166201</v>
      </c>
      <c r="K9" s="11" t="s">
        <v>11</v>
      </c>
      <c r="L9" s="12" t="s">
        <v>4</v>
      </c>
      <c r="N9" s="17" t="s">
        <v>12</v>
      </c>
      <c r="O9" s="19">
        <v>7378068</v>
      </c>
      <c r="P9" s="19">
        <v>128422391</v>
      </c>
    </row>
    <row r="10" spans="1:19" x14ac:dyDescent="0.35">
      <c r="H10" s="16" t="s">
        <v>29</v>
      </c>
      <c r="I10" s="14">
        <v>77661459</v>
      </c>
      <c r="K10" s="16" t="s">
        <v>7</v>
      </c>
      <c r="L10" s="14">
        <v>208826244</v>
      </c>
      <c r="N10" s="17" t="s">
        <v>13</v>
      </c>
      <c r="O10" s="19">
        <v>40749709</v>
      </c>
      <c r="P10" s="19">
        <v>145574358</v>
      </c>
    </row>
    <row r="11" spans="1:19" x14ac:dyDescent="0.35">
      <c r="A11" s="18" t="s">
        <v>57</v>
      </c>
      <c r="B11" s="18"/>
      <c r="C11" s="18"/>
      <c r="D11" s="18"/>
      <c r="H11" s="16" t="s">
        <v>28</v>
      </c>
      <c r="I11" s="14">
        <v>63911033</v>
      </c>
      <c r="K11" s="16" t="s">
        <v>8</v>
      </c>
      <c r="L11" s="14">
        <v>179038860</v>
      </c>
      <c r="N11" s="17" t="s">
        <v>14</v>
      </c>
      <c r="O11" s="19">
        <v>25456882</v>
      </c>
      <c r="P11" s="19">
        <v>119206299</v>
      </c>
    </row>
    <row r="12" spans="1:19" x14ac:dyDescent="0.35">
      <c r="A12" s="7" t="s">
        <v>47</v>
      </c>
      <c r="C12" s="7" t="s">
        <v>48</v>
      </c>
      <c r="D12" s="7" t="s">
        <v>49</v>
      </c>
      <c r="E12" s="7" t="s">
        <v>50</v>
      </c>
      <c r="H12" s="16" t="s">
        <v>27</v>
      </c>
      <c r="I12" s="14">
        <v>67857340</v>
      </c>
      <c r="K12" s="16" t="s">
        <v>6</v>
      </c>
      <c r="L12" s="14">
        <v>153673680</v>
      </c>
      <c r="N12" s="17" t="s">
        <v>15</v>
      </c>
      <c r="O12" s="19">
        <v>31600863</v>
      </c>
      <c r="P12" s="19">
        <v>131570373</v>
      </c>
    </row>
    <row r="13" spans="1:19" x14ac:dyDescent="0.35">
      <c r="A13" s="7" t="s">
        <v>51</v>
      </c>
      <c r="B13" s="2">
        <f>GETPIVOTDATA("[Measures].[Total Revenue]",$A$1)</f>
        <v>899902125</v>
      </c>
      <c r="C13" s="2">
        <f>GETPIVOTDATA("[Measures].[Total Revenue]",$A$6,"[Calendar].[Year]","[Calendar].[Year].&amp;[2021]")</f>
        <v>717821450</v>
      </c>
      <c r="D13" s="2">
        <f>GETPIVOTDATA("[Measures].[Total Revenue]",$A$6,"[Calendar].[Year]","[Calendar].[Year].&amp;[2020]")</f>
        <v>182080675</v>
      </c>
      <c r="E13" s="9">
        <f>(C13-D13)/D13</f>
        <v>2.9423263891129579</v>
      </c>
      <c r="F13" s="1" t="str">
        <f>IF(E13&gt;=0,"‎‎↑","↓")&amp;TEXT(ABS(E13),"0.00%")&amp;" "&amp;"YoY"</f>
        <v>‎‎↑294.23% YoY</v>
      </c>
      <c r="H13" s="16" t="s">
        <v>20</v>
      </c>
      <c r="I13" s="14">
        <v>85841957</v>
      </c>
      <c r="K13" s="16" t="s">
        <v>10</v>
      </c>
      <c r="L13" s="14">
        <v>128002813</v>
      </c>
      <c r="N13" s="17" t="s">
        <v>16</v>
      </c>
      <c r="O13" s="19">
        <v>76895153</v>
      </c>
      <c r="P13" s="19">
        <v>193048029</v>
      </c>
    </row>
    <row r="14" spans="1:19" x14ac:dyDescent="0.35">
      <c r="A14" s="7" t="s">
        <v>52</v>
      </c>
      <c r="B14" s="6">
        <f>GETPIVOTDATA("[Measures].[Total Quantity]",$A$1)</f>
        <v>2478861</v>
      </c>
      <c r="C14" s="6">
        <f>GETPIVOTDATA("[Measures].[Total Quantity]",$A$6,"[Calendar].[Year]","[Calendar].[Year].&amp;[2021]")</f>
        <v>2016512</v>
      </c>
      <c r="D14" s="6">
        <f>GETPIVOTDATA("[Measures].[Total Quantity]",$A$6,"[Calendar].[Year]","[Calendar].[Year].&amp;[2020]")</f>
        <v>462349</v>
      </c>
      <c r="E14" s="9">
        <f t="shared" ref="E14:E16" si="8">(C14-D14)/D14</f>
        <v>3.3614499003999145</v>
      </c>
      <c r="F14" s="1" t="str">
        <f t="shared" ref="F14:F16" si="9">IF(E14&gt;=0,"‎‎↑","↓")&amp;TEXT(ABS(E14),"0.00%")&amp;" "&amp;"YoY"</f>
        <v>‎‎↑336.14% YoY</v>
      </c>
      <c r="K14" s="16" t="s">
        <v>5</v>
      </c>
      <c r="L14" s="14">
        <v>123728632</v>
      </c>
    </row>
    <row r="15" spans="1:19" x14ac:dyDescent="0.35">
      <c r="A15" s="7" t="s">
        <v>53</v>
      </c>
      <c r="B15" s="2">
        <f>GETPIVOTDATA("[Measures].[Total Profit]",$A$1)</f>
        <v>899465875</v>
      </c>
      <c r="C15" s="2">
        <f>GETPIVOTDATA("[Measures].[Total Profit]",$A$6,"[Calendar].[Year]","[Calendar].[Year].&amp;[2021]")</f>
        <v>717451120</v>
      </c>
      <c r="D15" s="2">
        <f>GETPIVOTDATA("[Measures].[Total Profit]",$A$6,"[Calendar].[Year]","[Calendar].[Year].&amp;[2020]")</f>
        <v>182014755</v>
      </c>
      <c r="E15" s="9">
        <f t="shared" si="8"/>
        <v>2.9417195600433601</v>
      </c>
      <c r="F15" s="1" t="str">
        <f t="shared" si="9"/>
        <v>‎‎↑294.17% YoY</v>
      </c>
      <c r="H15" s="11" t="s">
        <v>17</v>
      </c>
      <c r="I15" s="12" t="s">
        <v>4</v>
      </c>
      <c r="K15" s="16" t="s">
        <v>9</v>
      </c>
      <c r="L15" s="14">
        <v>106631896</v>
      </c>
    </row>
    <row r="16" spans="1:19" x14ac:dyDescent="0.35">
      <c r="A16" s="7" t="s">
        <v>54</v>
      </c>
      <c r="B16" s="8">
        <f>GETPIVOTDATA("[Measures].[Profit Margin]",$A$1)</f>
        <v>0.99951522505850288</v>
      </c>
      <c r="C16" s="8">
        <f>GETPIVOTDATA("[Measures].[Profit Margin]",$A$6,"[Calendar].[Year]","[Calendar].[Year].&amp;[2021]")</f>
        <v>0.99948409176125896</v>
      </c>
      <c r="D16" s="8">
        <f>GETPIVOTDATA("[Measures].[Profit Margin]",$A$6,"[Calendar].[Year]","[Calendar].[Year].&amp;[2020]")</f>
        <v>0.99963796267780747</v>
      </c>
      <c r="E16" s="8">
        <f t="shared" si="8"/>
        <v>-1.5392664373841728E-4</v>
      </c>
      <c r="F16" s="1" t="str">
        <f t="shared" si="9"/>
        <v>↓0.02% YoY</v>
      </c>
      <c r="H16" s="16" t="s">
        <v>16</v>
      </c>
      <c r="I16" s="14">
        <v>269943182</v>
      </c>
    </row>
    <row r="17" spans="2:9" x14ac:dyDescent="0.35">
      <c r="H17" s="16" t="s">
        <v>13</v>
      </c>
      <c r="I17" s="14">
        <v>186324067</v>
      </c>
    </row>
    <row r="18" spans="2:9" x14ac:dyDescent="0.35">
      <c r="B18" s="11" t="s">
        <v>41</v>
      </c>
      <c r="C18" s="12" t="s">
        <v>4</v>
      </c>
      <c r="H18" s="16" t="s">
        <v>15</v>
      </c>
      <c r="I18" s="14">
        <v>163171236</v>
      </c>
    </row>
    <row r="19" spans="2:9" x14ac:dyDescent="0.35">
      <c r="B19" s="16" t="s">
        <v>38</v>
      </c>
      <c r="C19" s="14">
        <v>356643750</v>
      </c>
      <c r="H19" s="16" t="s">
        <v>14</v>
      </c>
      <c r="I19" s="14">
        <v>144663181</v>
      </c>
    </row>
    <row r="20" spans="2:9" x14ac:dyDescent="0.35">
      <c r="B20" s="16" t="s">
        <v>39</v>
      </c>
      <c r="C20" s="14">
        <v>247672882</v>
      </c>
      <c r="H20" s="16" t="s">
        <v>12</v>
      </c>
      <c r="I20" s="14">
        <v>135800459</v>
      </c>
    </row>
    <row r="21" spans="2:9" x14ac:dyDescent="0.35">
      <c r="B21" s="16" t="s">
        <v>40</v>
      </c>
      <c r="C21" s="14">
        <v>295585493</v>
      </c>
    </row>
  </sheetData>
  <mergeCells count="1">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0E36-25CC-473A-97D8-5171EC26569C}">
  <sheetPr codeName="Sheet4"/>
  <dimension ref="AF15"/>
  <sheetViews>
    <sheetView showGridLines="0" showRowColHeaders="0" tabSelected="1" zoomScale="60" zoomScaleNormal="60" workbookViewId="0">
      <selection activeCell="AE2" sqref="AE2"/>
    </sheetView>
  </sheetViews>
  <sheetFormatPr defaultRowHeight="14.5" x14ac:dyDescent="0.35"/>
  <sheetData>
    <row r="15" spans="32:32" x14ac:dyDescent="0.35">
      <c r="AF1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Props1.xml><?xml version="1.0" encoding="utf-8"?>
<ds:datastoreItem xmlns:ds="http://schemas.openxmlformats.org/officeDocument/2006/customXml" ds:itemID="{378BD365-080B-43FA-B8AE-C0A9C04AA3D8}">
  <ds:schemaRefs/>
</ds:datastoreItem>
</file>

<file path=customXml/itemProps2.xml><?xml version="1.0" encoding="utf-8"?>
<ds:datastoreItem xmlns:ds="http://schemas.openxmlformats.org/officeDocument/2006/customXml" ds:itemID="{578D48FE-657A-4AC8-AF46-47F7C92822F6}">
  <ds:schemaRefs/>
</ds:datastoreItem>
</file>

<file path=customXml/itemProps3.xml><?xml version="1.0" encoding="utf-8"?>
<ds:datastoreItem xmlns:ds="http://schemas.openxmlformats.org/officeDocument/2006/customXml" ds:itemID="{072491BD-21CB-418B-9702-221023A1D5E3}">
  <ds:schemaRefs/>
</ds:datastoreItem>
</file>

<file path=customXml/itemProps4.xml><?xml version="1.0" encoding="utf-8"?>
<ds:datastoreItem xmlns:ds="http://schemas.openxmlformats.org/officeDocument/2006/customXml" ds:itemID="{9876CAFE-AEA1-4A4F-A2BB-94D85EF04FE2}">
  <ds:schemaRefs/>
</ds:datastoreItem>
</file>

<file path=customXml/itemProps5.xml><?xml version="1.0" encoding="utf-8"?>
<ds:datastoreItem xmlns:ds="http://schemas.openxmlformats.org/officeDocument/2006/customXml" ds:itemID="{7F0C4EC2-5A7B-4FF9-880D-8F5AFC41CE92}">
  <ds:schemaRefs/>
</ds:datastoreItem>
</file>

<file path=customXml/itemProps6.xml><?xml version="1.0" encoding="utf-8"?>
<ds:datastoreItem xmlns:ds="http://schemas.openxmlformats.org/officeDocument/2006/customXml" ds:itemID="{792FD930-CA91-4ACD-8082-CA0E58BFCBB4}">
  <ds:schemaRefs/>
</ds:datastoreItem>
</file>

<file path=customXml/itemProps7.xml><?xml version="1.0" encoding="utf-8"?>
<ds:datastoreItem xmlns:ds="http://schemas.openxmlformats.org/officeDocument/2006/customXml" ds:itemID="{15A3E610-B008-4D87-9BCF-FC18816DE608}">
  <ds:schemaRefs/>
</ds:datastoreItem>
</file>

<file path=customXml/itemProps8.xml><?xml version="1.0" encoding="utf-8"?>
<ds:datastoreItem xmlns:ds="http://schemas.openxmlformats.org/officeDocument/2006/customXml" ds:itemID="{268E0420-F690-4F47-9651-59904BAB1682}">
  <ds:schemaRefs/>
</ds:datastoreItem>
</file>

<file path=customXml/itemProps9.xml><?xml version="1.0" encoding="utf-8"?>
<ds:datastoreItem xmlns:ds="http://schemas.openxmlformats.org/officeDocument/2006/customXml" ds:itemID="{FEDC64B2-A5B3-46AF-BCB8-B5AF12943B78}">
  <ds:schemaRefs/>
</ds:datastoreItem>
</file>

<file path=customXml/itemProps10.xml><?xml version="1.0" encoding="utf-8"?>
<ds:datastoreItem xmlns:ds="http://schemas.openxmlformats.org/officeDocument/2006/customXml" ds:itemID="{C4040300-8CA8-4F71-864A-2872919BA78C}">
  <ds:schemaRefs/>
</ds:datastoreItem>
</file>

<file path=customXml/itemProps11.xml><?xml version="1.0" encoding="utf-8"?>
<ds:datastoreItem xmlns:ds="http://schemas.openxmlformats.org/officeDocument/2006/customXml" ds:itemID="{2E6FD678-A799-48D5-B1F3-27166278CF7C}">
  <ds:schemaRefs/>
</ds:datastoreItem>
</file>

<file path=customXml/itemProps12.xml><?xml version="1.0" encoding="utf-8"?>
<ds:datastoreItem xmlns:ds="http://schemas.openxmlformats.org/officeDocument/2006/customXml" ds:itemID="{111CBD45-61DF-461F-A99C-1CA3DB7BD622}">
  <ds:schemaRefs/>
</ds:datastoreItem>
</file>

<file path=customXml/itemProps13.xml><?xml version="1.0" encoding="utf-8"?>
<ds:datastoreItem xmlns:ds="http://schemas.openxmlformats.org/officeDocument/2006/customXml" ds:itemID="{EDC41361-7591-4706-8E0D-30BAE4132243}">
  <ds:schemaRefs/>
</ds:datastoreItem>
</file>

<file path=customXml/itemProps14.xml><?xml version="1.0" encoding="utf-8"?>
<ds:datastoreItem xmlns:ds="http://schemas.openxmlformats.org/officeDocument/2006/customXml" ds:itemID="{2A952E97-59CD-4E30-AC64-962213D46B1E}">
  <ds:schemaRefs/>
</ds:datastoreItem>
</file>

<file path=customXml/itemProps15.xml><?xml version="1.0" encoding="utf-8"?>
<ds:datastoreItem xmlns:ds="http://schemas.openxmlformats.org/officeDocument/2006/customXml" ds:itemID="{FB464DB4-77B7-4951-A1BB-A4D85A353409}">
  <ds:schemaRefs/>
</ds:datastoreItem>
</file>

<file path=customXml/itemProps16.xml><?xml version="1.0" encoding="utf-8"?>
<ds:datastoreItem xmlns:ds="http://schemas.openxmlformats.org/officeDocument/2006/customXml" ds:itemID="{3D3474C6-DE50-4184-B64C-366041EE8592}">
  <ds:schemaRefs/>
</ds:datastoreItem>
</file>

<file path=customXml/itemProps17.xml><?xml version="1.0" encoding="utf-8"?>
<ds:datastoreItem xmlns:ds="http://schemas.openxmlformats.org/officeDocument/2006/customXml" ds:itemID="{C3DC50C4-C67A-4EB9-9ED9-C3A51A16EE42}">
  <ds:schemaRefs/>
</ds:datastoreItem>
</file>

<file path=customXml/itemProps18.xml><?xml version="1.0" encoding="utf-8"?>
<ds:datastoreItem xmlns:ds="http://schemas.openxmlformats.org/officeDocument/2006/customXml" ds:itemID="{BAE1D509-D1D0-4C8B-B96E-8A765541CE24}">
  <ds:schemaRefs/>
</ds:datastoreItem>
</file>

<file path=customXml/itemProps19.xml><?xml version="1.0" encoding="utf-8"?>
<ds:datastoreItem xmlns:ds="http://schemas.openxmlformats.org/officeDocument/2006/customXml" ds:itemID="{7748EBD3-0E1C-42CF-A285-2FAC96C6D0D0}">
  <ds:schemaRefs/>
</ds:datastoreItem>
</file>

<file path=customXml/itemProps20.xml><?xml version="1.0" encoding="utf-8"?>
<ds:datastoreItem xmlns:ds="http://schemas.openxmlformats.org/officeDocument/2006/customXml" ds:itemID="{F30382FE-D7DE-47E6-8164-11569C64DB9D}">
  <ds:schemaRefs/>
</ds:datastoreItem>
</file>

<file path=customXml/itemProps21.xml><?xml version="1.0" encoding="utf-8"?>
<ds:datastoreItem xmlns:ds="http://schemas.openxmlformats.org/officeDocument/2006/customXml" ds:itemID="{BB4D7973-EC4D-4EEF-AA42-4AF8BA303149}">
  <ds:schemaRefs/>
</ds:datastoreItem>
</file>

<file path=customXml/itemProps22.xml><?xml version="1.0" encoding="utf-8"?>
<ds:datastoreItem xmlns:ds="http://schemas.openxmlformats.org/officeDocument/2006/customXml" ds:itemID="{1F138BF7-79CF-407A-BF97-95FC225A4D43}">
  <ds:schemaRefs/>
</ds:datastoreItem>
</file>

<file path=customXml/itemProps23.xml><?xml version="1.0" encoding="utf-8"?>
<ds:datastoreItem xmlns:ds="http://schemas.openxmlformats.org/officeDocument/2006/customXml" ds:itemID="{CF609F58-68FC-4CD3-8F4F-4B801D0EE7CD}">
  <ds:schemaRefs/>
</ds:datastoreItem>
</file>

<file path=customXml/itemProps24.xml><?xml version="1.0" encoding="utf-8"?>
<ds:datastoreItem xmlns:ds="http://schemas.openxmlformats.org/officeDocument/2006/customXml" ds:itemID="{2E794829-AC59-4327-A063-F96EAA264C0A}">
  <ds:schemaRefs/>
</ds:datastoreItem>
</file>

<file path=customXml/itemProps25.xml><?xml version="1.0" encoding="utf-8"?>
<ds:datastoreItem xmlns:ds="http://schemas.openxmlformats.org/officeDocument/2006/customXml" ds:itemID="{14CB251B-A1C7-4C17-9841-1C1324B05A7E}">
  <ds:schemaRefs/>
</ds:datastoreItem>
</file>

<file path=customXml/itemProps26.xml><?xml version="1.0" encoding="utf-8"?>
<ds:datastoreItem xmlns:ds="http://schemas.openxmlformats.org/officeDocument/2006/customXml" ds:itemID="{7DFD60BE-CCB2-4E7D-A8BF-17A8A9EC34C6}">
  <ds:schemaRefs/>
</ds:datastoreItem>
</file>

<file path=customXml/itemProps27.xml><?xml version="1.0" encoding="utf-8"?>
<ds:datastoreItem xmlns:ds="http://schemas.openxmlformats.org/officeDocument/2006/customXml" ds:itemID="{966AC4FE-AEE3-40EF-952D-3048D828FFCE}">
  <ds:schemaRefs/>
</ds:datastoreItem>
</file>

<file path=customXml/itemProps28.xml><?xml version="1.0" encoding="utf-8"?>
<ds:datastoreItem xmlns:ds="http://schemas.openxmlformats.org/officeDocument/2006/customXml" ds:itemID="{C08493AD-400F-4BEB-80AA-DE4D96A412B0}">
  <ds:schemaRefs/>
</ds:datastoreItem>
</file>

<file path=customXml/itemProps29.xml><?xml version="1.0" encoding="utf-8"?>
<ds:datastoreItem xmlns:ds="http://schemas.openxmlformats.org/officeDocument/2006/customXml" ds:itemID="{15AFB1BC-141E-4CAC-B94A-9B8FD22BCB93}">
  <ds:schemaRefs/>
</ds:datastoreItem>
</file>

<file path=customXml/itemProps30.xml><?xml version="1.0" encoding="utf-8"?>
<ds:datastoreItem xmlns:ds="http://schemas.openxmlformats.org/officeDocument/2006/customXml" ds:itemID="{E1B6D2D9-34EC-4ACB-829A-E83D0E789DF0}">
  <ds:schemaRefs/>
</ds:datastoreItem>
</file>

<file path=customXml/itemProps31.xml><?xml version="1.0" encoding="utf-8"?>
<ds:datastoreItem xmlns:ds="http://schemas.openxmlformats.org/officeDocument/2006/customXml" ds:itemID="{D3C5A408-672D-4C06-B775-51760F08C10E}">
  <ds:schemaRefs/>
</ds:datastoreItem>
</file>

<file path=customXml/itemProps32.xml><?xml version="1.0" encoding="utf-8"?>
<ds:datastoreItem xmlns:ds="http://schemas.openxmlformats.org/officeDocument/2006/customXml" ds:itemID="{0838FC74-7DB2-429E-9177-6594332CFFAC}">
  <ds:schemaRefs/>
</ds:datastoreItem>
</file>

<file path=customXml/itemProps33.xml><?xml version="1.0" encoding="utf-8"?>
<ds:datastoreItem xmlns:ds="http://schemas.openxmlformats.org/officeDocument/2006/customXml" ds:itemID="{7199951E-8B8A-496A-835D-CC8C57A7160D}">
  <ds:schemaRefs/>
</ds:datastoreItem>
</file>

<file path=customXml/itemProps34.xml><?xml version="1.0" encoding="utf-8"?>
<ds:datastoreItem xmlns:ds="http://schemas.openxmlformats.org/officeDocument/2006/customXml" ds:itemID="{8C806F48-40FE-412E-83A3-A3762D7FF44B}">
  <ds:schemaRefs/>
</ds:datastoreItem>
</file>

<file path=customXml/itemProps35.xml><?xml version="1.0" encoding="utf-8"?>
<ds:datastoreItem xmlns:ds="http://schemas.openxmlformats.org/officeDocument/2006/customXml" ds:itemID="{2A621454-7B11-4028-842A-13B1A34E956A}">
  <ds:schemaRefs/>
</ds:datastoreItem>
</file>

<file path=customXml/itemProps36.xml><?xml version="1.0" encoding="utf-8"?>
<ds:datastoreItem xmlns:ds="http://schemas.openxmlformats.org/officeDocument/2006/customXml" ds:itemID="{E96F6701-C5E2-48D4-B7E1-86E2D1E837B4}">
  <ds:schemaRefs>
    <ds:schemaRef ds:uri="http://schemas.microsoft.com/DataMashup"/>
  </ds:schemaRefs>
</ds:datastoreItem>
</file>

<file path=customXml/itemProps37.xml><?xml version="1.0" encoding="utf-8"?>
<ds:datastoreItem xmlns:ds="http://schemas.openxmlformats.org/officeDocument/2006/customXml" ds:itemID="{47226EDA-8470-41F5-9B43-FF6C1E0DA799}">
  <ds:schemaRefs/>
</ds:datastoreItem>
</file>

<file path=customXml/itemProps38.xml><?xml version="1.0" encoding="utf-8"?>
<ds:datastoreItem xmlns:ds="http://schemas.openxmlformats.org/officeDocument/2006/customXml" ds:itemID="{D78E8F68-CA7A-4CB5-9B47-1AE3F418D2A4}">
  <ds:schemaRefs/>
</ds:datastoreItem>
</file>

<file path=customXml/itemProps39.xml><?xml version="1.0" encoding="utf-8"?>
<ds:datastoreItem xmlns:ds="http://schemas.openxmlformats.org/officeDocument/2006/customXml" ds:itemID="{2E179E7C-9607-4FC3-8F8A-953239AFA196}">
  <ds:schemaRefs/>
</ds:datastoreItem>
</file>

<file path=customXml/itemProps40.xml><?xml version="1.0" encoding="utf-8"?>
<ds:datastoreItem xmlns:ds="http://schemas.openxmlformats.org/officeDocument/2006/customXml" ds:itemID="{712D20A4-C8EB-4934-B751-9D98F3BBFD77}">
  <ds:schemaRefs/>
</ds:datastoreItem>
</file>

<file path=customXml/itemProps41.xml><?xml version="1.0" encoding="utf-8"?>
<ds:datastoreItem xmlns:ds="http://schemas.openxmlformats.org/officeDocument/2006/customXml" ds:itemID="{147FC6D6-9584-4639-B3CD-ADE1B514E179}">
  <ds:schemaRefs/>
</ds:datastoreItem>
</file>

<file path=customXml/itemProps42.xml><?xml version="1.0" encoding="utf-8"?>
<ds:datastoreItem xmlns:ds="http://schemas.openxmlformats.org/officeDocument/2006/customXml" ds:itemID="{B056932B-D5E1-4045-ABA3-A08C5E46A97B}">
  <ds:schemaRefs/>
</ds:datastoreItem>
</file>

<file path=customXml/itemProps43.xml><?xml version="1.0" encoding="utf-8"?>
<ds:datastoreItem xmlns:ds="http://schemas.openxmlformats.org/officeDocument/2006/customXml" ds:itemID="{021F2876-0236-4088-9122-9691079C2C94}">
  <ds:schemaRefs/>
</ds:datastoreItem>
</file>

<file path=customXml/itemProps44.xml><?xml version="1.0" encoding="utf-8"?>
<ds:datastoreItem xmlns:ds="http://schemas.openxmlformats.org/officeDocument/2006/customXml" ds:itemID="{FE0D76CB-7063-4C9C-837A-2062C205CD3B}">
  <ds:schemaRefs/>
</ds:datastoreItem>
</file>

<file path=customXml/itemProps45.xml><?xml version="1.0" encoding="utf-8"?>
<ds:datastoreItem xmlns:ds="http://schemas.openxmlformats.org/officeDocument/2006/customXml" ds:itemID="{DF070878-BE25-4083-9858-F8532EE020FF}">
  <ds:schemaRefs/>
</ds:datastoreItem>
</file>

<file path=customXml/itemProps46.xml><?xml version="1.0" encoding="utf-8"?>
<ds:datastoreItem xmlns:ds="http://schemas.openxmlformats.org/officeDocument/2006/customXml" ds:itemID="{5EE0C5E5-9A28-4273-A83F-3B98CD9F80D3}">
  <ds:schemaRefs/>
</ds:datastoreItem>
</file>

<file path=customXml/itemProps47.xml><?xml version="1.0" encoding="utf-8"?>
<ds:datastoreItem xmlns:ds="http://schemas.openxmlformats.org/officeDocument/2006/customXml" ds:itemID="{E06EA0EA-73E1-43A6-8A94-6DBEF1EE8EAC}">
  <ds:schemaRefs/>
</ds:datastoreItem>
</file>

<file path=customXml/itemProps48.xml><?xml version="1.0" encoding="utf-8"?>
<ds:datastoreItem xmlns:ds="http://schemas.openxmlformats.org/officeDocument/2006/customXml" ds:itemID="{CCDE4E32-0E9A-4CA8-86E7-6A9D3C01F594}">
  <ds:schemaRefs/>
</ds:datastoreItem>
</file>

<file path=customXml/itemProps49.xml><?xml version="1.0" encoding="utf-8"?>
<ds:datastoreItem xmlns:ds="http://schemas.openxmlformats.org/officeDocument/2006/customXml" ds:itemID="{DFDECA56-535B-4542-B4D0-A0AB00554312}">
  <ds:schemaRefs/>
</ds:datastoreItem>
</file>

<file path=customXml/itemProps50.xml><?xml version="1.0" encoding="utf-8"?>
<ds:datastoreItem xmlns:ds="http://schemas.openxmlformats.org/officeDocument/2006/customXml" ds:itemID="{17B7D780-FD9A-4343-8AC3-9C1C19F11CE5}">
  <ds:schemaRefs/>
</ds:datastoreItem>
</file>

<file path=customXml/itemProps51.xml><?xml version="1.0" encoding="utf-8"?>
<ds:datastoreItem xmlns:ds="http://schemas.openxmlformats.org/officeDocument/2006/customXml" ds:itemID="{6061CFC2-D22F-4169-B3FF-85C63207BB5C}">
  <ds:schemaRefs/>
</ds:datastoreItem>
</file>

<file path=customXml/itemProps52.xml><?xml version="1.0" encoding="utf-8"?>
<ds:datastoreItem xmlns:ds="http://schemas.openxmlformats.org/officeDocument/2006/customXml" ds:itemID="{039FA166-5E37-490E-9064-6192AAEFD961}">
  <ds:schemaRefs/>
</ds:datastoreItem>
</file>

<file path=customXml/itemProps53.xml><?xml version="1.0" encoding="utf-8"?>
<ds:datastoreItem xmlns:ds="http://schemas.openxmlformats.org/officeDocument/2006/customXml" ds:itemID="{789188EA-7303-423D-9D5A-F74AE9ADB536}">
  <ds:schemaRefs/>
</ds:datastoreItem>
</file>

<file path=customXml/itemProps54.xml><?xml version="1.0" encoding="utf-8"?>
<ds:datastoreItem xmlns:ds="http://schemas.openxmlformats.org/officeDocument/2006/customXml" ds:itemID="{11B43C62-EC1D-4F60-A4A9-F7F50E6CE2AC}">
  <ds:schemaRefs/>
</ds:datastoreItem>
</file>

<file path=customXml/itemProps55.xml><?xml version="1.0" encoding="utf-8"?>
<ds:datastoreItem xmlns:ds="http://schemas.openxmlformats.org/officeDocument/2006/customXml" ds:itemID="{1ABAF51E-C79F-4705-BD42-94C450DB0B11}">
  <ds:schemaRefs/>
</ds:datastoreItem>
</file>

<file path=customXml/itemProps56.xml><?xml version="1.0" encoding="utf-8"?>
<ds:datastoreItem xmlns:ds="http://schemas.openxmlformats.org/officeDocument/2006/customXml" ds:itemID="{830E16EE-FE35-47CF-A28A-62552DA2FF8E}">
  <ds:schemaRefs/>
</ds:datastoreItem>
</file>

<file path=customXml/itemProps57.xml><?xml version="1.0" encoding="utf-8"?>
<ds:datastoreItem xmlns:ds="http://schemas.openxmlformats.org/officeDocument/2006/customXml" ds:itemID="{81F51037-F853-4CB6-83BA-96F022AAF4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Pivot Tables</vt:lpstr>
      <vt:lpstr>Dashboard</vt:lpstr>
      <vt:lpstr>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ozoka favour</dc:creator>
  <cp:lastModifiedBy>ozoka favour</cp:lastModifiedBy>
  <dcterms:created xsi:type="dcterms:W3CDTF">2026-08-22T14:50:16Z</dcterms:created>
  <dcterms:modified xsi:type="dcterms:W3CDTF">2026-09-10T17:49:01Z</dcterms:modified>
</cp:coreProperties>
</file>